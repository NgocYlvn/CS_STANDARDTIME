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ykgroup-my.sharepoint.com/personal/thuhuong_ngo_nykgroup_com/Documents/THU HUONG_DAILY JOB/MULTI-DATA/PROJECT OF YLK/To be advised (unification)/"/>
    </mc:Choice>
  </mc:AlternateContent>
  <xr:revisionPtr revIDLastSave="455" documentId="8_{F9537D5D-B12A-4A4C-AF40-128E8D45C306}" xr6:coauthVersionLast="47" xr6:coauthVersionMax="47" xr10:uidLastSave="{B1A28C55-8130-4BC9-9DCF-9219BD06BA04}"/>
  <bookViews>
    <workbookView xWindow="-120" yWindow="-120" windowWidth="20730" windowHeight="11040" xr2:uid="{E21F554E-3F05-4DDC-8BE4-80952248A30F}"/>
  </bookViews>
  <sheets>
    <sheet name="HC" sheetId="1" r:id="rId1"/>
    <sheet name="Shipment volume" sheetId="2" r:id="rId2"/>
    <sheet name="BU allocation" sheetId="5" r:id="rId3"/>
    <sheet name="N-S Customer list" sheetId="6" r:id="rId4"/>
    <sheet name="HAN Customer list" sheetId="8" r:id="rId5"/>
    <sheet name="HLC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4" i="1" l="1"/>
  <c r="M5" i="1"/>
  <c r="M16" i="1"/>
  <c r="M17" i="1"/>
  <c r="E15" i="1"/>
  <c r="M29" i="1"/>
  <c r="K29" i="1"/>
  <c r="K28" i="1"/>
  <c r="L17" i="1"/>
  <c r="L16" i="1"/>
  <c r="L5" i="1"/>
  <c r="L4" i="1"/>
  <c r="K17" i="1"/>
  <c r="K16" i="1"/>
  <c r="K5" i="1"/>
  <c r="K4" i="1"/>
  <c r="H28" i="1"/>
  <c r="H29" i="1"/>
  <c r="H17" i="1"/>
  <c r="H16" i="1"/>
  <c r="H5" i="1"/>
  <c r="H4" i="1"/>
  <c r="D28" i="2"/>
  <c r="S29" i="2"/>
  <c r="R29" i="2"/>
  <c r="Q29" i="2"/>
  <c r="N29" i="2"/>
  <c r="M29" i="2"/>
  <c r="L29" i="2"/>
  <c r="K29" i="2"/>
  <c r="J29" i="2"/>
  <c r="I29" i="2"/>
  <c r="H29" i="2"/>
  <c r="G29" i="2"/>
  <c r="F29" i="2"/>
  <c r="E29" i="2"/>
  <c r="D29" i="2"/>
  <c r="T29" i="2" s="1"/>
  <c r="S28" i="2"/>
  <c r="R28" i="2"/>
  <c r="Q28" i="2"/>
  <c r="N28" i="2"/>
  <c r="M28" i="2"/>
  <c r="L28" i="2"/>
  <c r="K28" i="2"/>
  <c r="J28" i="2"/>
  <c r="I28" i="2"/>
  <c r="H28" i="2"/>
  <c r="G28" i="2"/>
  <c r="F28" i="2"/>
  <c r="E28" i="2"/>
  <c r="T28" i="2"/>
  <c r="S17" i="2"/>
  <c r="R17" i="2"/>
  <c r="Q17" i="2"/>
  <c r="N17" i="2"/>
  <c r="M17" i="2"/>
  <c r="L17" i="2"/>
  <c r="K17" i="2"/>
  <c r="J17" i="2"/>
  <c r="I17" i="2"/>
  <c r="H17" i="2"/>
  <c r="G17" i="2"/>
  <c r="S16" i="2"/>
  <c r="R16" i="2"/>
  <c r="Q16" i="2"/>
  <c r="N16" i="2"/>
  <c r="M16" i="2"/>
  <c r="L16" i="2"/>
  <c r="K16" i="2"/>
  <c r="J16" i="2"/>
  <c r="I16" i="2"/>
  <c r="H16" i="2"/>
  <c r="G16" i="2"/>
  <c r="F17" i="2"/>
  <c r="F16" i="2"/>
  <c r="E17" i="2"/>
  <c r="E16" i="2"/>
  <c r="D17" i="2"/>
  <c r="T17" i="2" s="1"/>
  <c r="D16" i="2"/>
  <c r="T16" i="2" s="1"/>
  <c r="M12" i="5"/>
  <c r="M13" i="5"/>
  <c r="M14" i="5"/>
  <c r="M15" i="5"/>
  <c r="M16" i="5"/>
  <c r="M17" i="5"/>
  <c r="M11" i="5"/>
  <c r="M10" i="5"/>
  <c r="M5" i="5"/>
  <c r="M6" i="5"/>
  <c r="M7" i="5"/>
  <c r="M8" i="5"/>
  <c r="M9" i="5"/>
  <c r="M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4" i="5"/>
  <c r="T5" i="2"/>
  <c r="T4" i="2"/>
  <c r="E29" i="1"/>
  <c r="E28" i="1"/>
  <c r="E17" i="1"/>
  <c r="E16" i="1"/>
  <c r="E5" i="1"/>
  <c r="E4" i="1"/>
  <c r="L29" i="1" l="1"/>
  <c r="M28" i="1"/>
  <c r="L28" i="1"/>
  <c r="E98" i="8" l="1"/>
  <c r="D98" i="8"/>
  <c r="F98" i="9"/>
  <c r="C98" i="8"/>
  <c r="E98" i="9"/>
  <c r="D98" i="9"/>
  <c r="F98" i="8"/>
  <c r="C98" i="9"/>
</calcChain>
</file>

<file path=xl/sharedStrings.xml><?xml version="1.0" encoding="utf-8"?>
<sst xmlns="http://schemas.openxmlformats.org/spreadsheetml/2006/main" count="578" uniqueCount="171">
  <si>
    <t>Approved HC</t>
  </si>
  <si>
    <t>MNG</t>
  </si>
  <si>
    <t>PIC</t>
  </si>
  <si>
    <t>Total</t>
  </si>
  <si>
    <t>HAN</t>
  </si>
  <si>
    <t>HAD</t>
  </si>
  <si>
    <t>HLC</t>
  </si>
  <si>
    <t>HCM</t>
  </si>
  <si>
    <t>Office</t>
  </si>
  <si>
    <t>Month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</si>
  <si>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</si>
  <si>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</si>
  <si>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</si>
  <si>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</si>
  <si>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</si>
  <si>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</si>
  <si>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</si>
  <si>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</si>
  <si>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</si>
  <si>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</si>
  <si>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</si>
  <si>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</si>
  <si>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Actual HC</t>
  </si>
  <si>
    <t>Required HC</t>
  </si>
  <si>
    <t>HC STATUS</t>
  </si>
  <si>
    <t>AI</t>
  </si>
  <si>
    <t>AE</t>
  </si>
  <si>
    <t>OILCL</t>
  </si>
  <si>
    <t>OIFCL</t>
  </si>
  <si>
    <t>OELCL</t>
  </si>
  <si>
    <t>OEFCL</t>
  </si>
  <si>
    <t>DI</t>
  </si>
  <si>
    <t>DE</t>
  </si>
  <si>
    <t>DM</t>
  </si>
  <si>
    <t>CE</t>
  </si>
  <si>
    <t>CI</t>
  </si>
  <si>
    <t>HE</t>
  </si>
  <si>
    <t>HI</t>
  </si>
  <si>
    <t>RE</t>
  </si>
  <si>
    <t>RI</t>
  </si>
  <si>
    <t>RD</t>
  </si>
  <si>
    <t>Shipment volume (Transportation mode)</t>
  </si>
  <si>
    <t>Active Customer</t>
  </si>
  <si>
    <t>OE</t>
  </si>
  <si>
    <t>OI</t>
  </si>
  <si>
    <t>CC</t>
  </si>
  <si>
    <t>TR</t>
  </si>
  <si>
    <t>WH</t>
  </si>
  <si>
    <t>TOTAL</t>
  </si>
  <si>
    <t>SHIPMENT VOLUME</t>
  </si>
  <si>
    <t>Volume</t>
  </si>
  <si>
    <t>Processing time</t>
  </si>
  <si>
    <t>Apr-26</t>
  </si>
  <si>
    <t>May-26</t>
  </si>
  <si>
    <t>Segment</t>
  </si>
  <si>
    <t>Core</t>
  </si>
  <si>
    <t>Ancillary</t>
  </si>
  <si>
    <t>Supporting</t>
  </si>
  <si>
    <t>Exception</t>
  </si>
  <si>
    <t>Total workload</t>
  </si>
  <si>
    <t>% of Network</t>
  </si>
  <si>
    <t>No.</t>
  </si>
  <si>
    <t>Customer</t>
  </si>
  <si>
    <t>Jun-26</t>
  </si>
  <si>
    <t>Jul-26</t>
  </si>
  <si>
    <t>UMC</t>
  </si>
  <si>
    <t>SDVN</t>
  </si>
  <si>
    <t>SEWS-CV</t>
  </si>
  <si>
    <t>NGSDVN</t>
  </si>
  <si>
    <t>KVP</t>
  </si>
  <si>
    <t>VIETINAK</t>
  </si>
  <si>
    <t>CRESYN</t>
  </si>
  <si>
    <t>EASTECH</t>
  </si>
  <si>
    <t>Schaeffler</t>
  </si>
  <si>
    <t>HANA BN</t>
  </si>
  <si>
    <t>FABRI-TECH</t>
  </si>
  <si>
    <t>IKKA</t>
  </si>
  <si>
    <t>TAISHODO</t>
  </si>
  <si>
    <t>WLV</t>
  </si>
  <si>
    <t>OHGITANI</t>
  </si>
  <si>
    <t>SEAPs</t>
  </si>
  <si>
    <t>TORAY (PACIFIC)</t>
  </si>
  <si>
    <t>NEV</t>
  </si>
  <si>
    <t>LIXIL</t>
  </si>
  <si>
    <t>BANDO</t>
  </si>
  <si>
    <t>SENKO TH</t>
  </si>
  <si>
    <t>SVAW</t>
  </si>
  <si>
    <t>AKEBONO</t>
  </si>
  <si>
    <t>NAGASE</t>
  </si>
  <si>
    <t>ABCD</t>
  </si>
  <si>
    <t>HAMADEN</t>
  </si>
  <si>
    <t>KANSAI</t>
  </si>
  <si>
    <t>CMV</t>
  </si>
  <si>
    <t>AIDEN</t>
  </si>
  <si>
    <t>BIVN</t>
  </si>
  <si>
    <t>MEKTEC</t>
  </si>
  <si>
    <t>YAMCO</t>
  </si>
  <si>
    <t>SENKO JP</t>
  </si>
  <si>
    <t>SENKO HK</t>
  </si>
  <si>
    <t>PROTERIAL</t>
  </si>
  <si>
    <t>DS VIETNAM</t>
  </si>
  <si>
    <t>HARTING</t>
  </si>
  <si>
    <t>FANUC</t>
  </si>
  <si>
    <t>SANWA</t>
  </si>
  <si>
    <t>MARUNIX</t>
  </si>
  <si>
    <t>HWEAR</t>
  </si>
  <si>
    <t>TSK</t>
  </si>
  <si>
    <t>HOKUYO</t>
  </si>
  <si>
    <t>NPR</t>
  </si>
  <si>
    <t>ICAM</t>
  </si>
  <si>
    <t>FIT</t>
  </si>
  <si>
    <t>IRISO</t>
  </si>
  <si>
    <t>HANA BG</t>
  </si>
  <si>
    <t>DOW</t>
  </si>
  <si>
    <t>TOWADENKI</t>
  </si>
  <si>
    <t>WONDERFUL</t>
  </si>
  <si>
    <t>SUZURAN</t>
  </si>
  <si>
    <t>VISCO</t>
  </si>
  <si>
    <t>CLIMAVENETA</t>
  </si>
  <si>
    <t>KTC</t>
  </si>
  <si>
    <t>DENKA VN</t>
  </si>
  <si>
    <t>Marubun</t>
  </si>
  <si>
    <t>IGV</t>
  </si>
  <si>
    <t>FUJISEIKO</t>
  </si>
  <si>
    <t>TORICA</t>
  </si>
  <si>
    <t>YOKOHAMA</t>
  </si>
  <si>
    <t>DATACOLOR</t>
  </si>
  <si>
    <t>SAMWHA HK</t>
  </si>
  <si>
    <t>NISSEI</t>
  </si>
  <si>
    <t>MOLTEN</t>
  </si>
  <si>
    <t>SANSEI</t>
  </si>
  <si>
    <t>THUC NGHIEP</t>
  </si>
  <si>
    <t>JFTV</t>
  </si>
  <si>
    <t>ACECOOK</t>
  </si>
  <si>
    <t>AvantChem</t>
  </si>
  <si>
    <t>WEALTHY</t>
  </si>
  <si>
    <t>KURODA</t>
  </si>
  <si>
    <t>KOUYOHSIN</t>
  </si>
  <si>
    <t>DAESANG</t>
  </si>
  <si>
    <t>NFK</t>
  </si>
  <si>
    <t>TANTHANH</t>
  </si>
  <si>
    <t>SUYUE</t>
  </si>
  <si>
    <t>MYONGSHIN</t>
  </si>
  <si>
    <t>KOYO</t>
  </si>
  <si>
    <t>MITSUBA</t>
  </si>
  <si>
    <t>RICHDEMANDER</t>
  </si>
  <si>
    <t>TAEYANG</t>
  </si>
  <si>
    <t>JUNYUE</t>
  </si>
  <si>
    <t>POYUN</t>
  </si>
  <si>
    <t>KOREAJCC</t>
  </si>
  <si>
    <t>ASIAPACIFIC</t>
  </si>
  <si>
    <t>VIETSON</t>
  </si>
  <si>
    <t>OCHIAI</t>
  </si>
  <si>
    <t>GEMMY</t>
  </si>
  <si>
    <t>MKHV</t>
  </si>
  <si>
    <t>HAIVINA</t>
  </si>
  <si>
    <t>ADVPHARMA</t>
  </si>
  <si>
    <t>YENHUNG</t>
  </si>
  <si>
    <t>MSVINA</t>
  </si>
  <si>
    <t>REDSTAR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</si>
  <si>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</si>
  <si>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</si>
  <si>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</si>
  <si>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</si>
  <si>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</si>
  <si>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</si>
  <si>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</si>
  <si>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</si>
  <si>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Capacity</t>
  </si>
  <si>
    <t>%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</si>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</sst>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/mmm/yy;@"/>
    <numFmt numFmtId="165" formatCode="_(* #,##0_);_(* \(#,##0\);_(* &quot;-&quot;??_);_(@_)"/>
    <numFmt numFmtId="166" formatCode="0.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rlito"/>
    </font>
    <font>
      <b/>
      <sz val="9"/>
      <color rgb="FF243B6A"/>
      <name val="Calibri"/>
      <family val="2"/>
    </font>
    <font>
      <sz val="9"/>
      <color rgb="FF243B6A"/>
      <name val="Calibri"/>
      <family val="2"/>
    </font>
    <font>
      <sz val="8"/>
      <name val="Aptos Narrow"/>
      <family val="2"/>
      <scheme val="minor"/>
    </font>
    <font>
      <sz val="11"/>
      <name val="ＭＳ Ｐゴシック"/>
      <family val="3"/>
      <charset val="128"/>
    </font>
    <font>
      <sz val="11"/>
      <color theme="1"/>
      <name val="Aptos Narrow"/>
      <family val="2"/>
      <charset val="204"/>
      <scheme val="minor"/>
    </font>
    <font>
      <b/>
      <sz val="11"/>
      <name val="Aptos Narrow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C8C8C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4" fontId="7" fillId="0" borderId="0"/>
    <xf numFmtId="0" fontId="8" fillId="0" borderId="0"/>
  </cellStyleXfs>
  <cellXfs count="55">
    <xf numFmtId="0" fontId="0" fillId="0" borderId="0" xfId="0"/>
    <xf numFmtId="0" fontId="5" fillId="2" borderId="4" xfId="3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4" fillId="0" borderId="4" xfId="3" applyFont="1" applyBorder="1" applyAlignment="1">
      <alignment horizontal="center" vertical="center" wrapText="1"/>
    </xf>
    <xf numFmtId="0" fontId="0" fillId="0" borderId="4" xfId="0" applyBorder="1"/>
    <xf numFmtId="0" fontId="2" fillId="0" borderId="4" xfId="0" applyFont="1" applyBorder="1" applyAlignment="1">
      <alignment horizontal="center"/>
    </xf>
    <xf numFmtId="0" fontId="2" fillId="0" borderId="0" xfId="0" applyFont="1"/>
    <xf numFmtId="0" fontId="4" fillId="0" borderId="4" xfId="3" applyFont="1" applyBorder="1" applyAlignment="1">
      <alignment vertical="center" wrapText="1"/>
    </xf>
    <xf numFmtId="0" fontId="5" fillId="2" borderId="4" xfId="3" applyFont="1" applyFill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164" fontId="9" fillId="0" borderId="4" xfId="4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65" fontId="0" fillId="0" borderId="4" xfId="0" applyNumberFormat="1" applyBorder="1"/>
    <xf numFmtId="165" fontId="0" fillId="0" borderId="4" xfId="1" applyNumberFormat="1" applyFont="1" applyBorder="1"/>
    <xf numFmtId="0" fontId="0" fillId="0" borderId="0" xfId="0" applyAlignment="1">
      <alignment horizontal="center"/>
    </xf>
    <xf numFmtId="0" fontId="2" fillId="0" borderId="4" xfId="0" applyFont="1" applyBorder="1"/>
    <xf numFmtId="165" fontId="0" fillId="0" borderId="4" xfId="1" applyNumberFormat="1" applyFont="1" applyBorder="1" applyAlignment="1"/>
    <xf numFmtId="0" fontId="0" fillId="3" borderId="4" xfId="0" applyFill="1" applyBorder="1" applyAlignment="1">
      <alignment horizontal="center"/>
    </xf>
    <xf numFmtId="0" fontId="2" fillId="3" borderId="4" xfId="5" applyFont="1" applyFill="1" applyBorder="1" applyAlignment="1">
      <alignment horizontal="center" vertical="center"/>
    </xf>
    <xf numFmtId="165" fontId="2" fillId="3" borderId="4" xfId="1" applyNumberFormat="1" applyFont="1" applyFill="1" applyBorder="1" applyAlignment="1">
      <alignment horizontal="center" vertical="center"/>
    </xf>
    <xf numFmtId="0" fontId="2" fillId="3" borderId="2" xfId="5" applyFont="1" applyFill="1" applyBorder="1" applyAlignment="1">
      <alignment horizontal="center" vertical="center"/>
    </xf>
    <xf numFmtId="165" fontId="2" fillId="3" borderId="2" xfId="1" applyNumberFormat="1" applyFont="1" applyFill="1" applyBorder="1" applyAlignment="1">
      <alignment horizontal="center" vertical="center"/>
    </xf>
    <xf numFmtId="2" fontId="0" fillId="0" borderId="4" xfId="2" applyNumberFormat="1" applyFont="1" applyBorder="1" applyAlignment="1">
      <alignment horizontal="center"/>
    </xf>
    <xf numFmtId="1" fontId="0" fillId="0" borderId="4" xfId="2" applyNumberFormat="1" applyFont="1" applyBorder="1" applyAlignment="1">
      <alignment horizontal="center"/>
    </xf>
    <xf numFmtId="9" fontId="0" fillId="0" borderId="4" xfId="2" applyFont="1" applyBorder="1"/>
    <xf numFmtId="165" fontId="5" fillId="0" borderId="4" xfId="1" applyNumberFormat="1" applyFont="1" applyBorder="1" applyAlignment="1">
      <alignment vertical="center"/>
    </xf>
    <xf numFmtId="165" fontId="10" fillId="0" borderId="4" xfId="1" applyNumberFormat="1" applyFont="1" applyBorder="1" applyAlignment="1">
      <alignment horizontal="center" vertical="center"/>
    </xf>
    <xf numFmtId="165" fontId="5" fillId="0" borderId="4" xfId="0" applyNumberFormat="1" applyFont="1" applyBorder="1" applyAlignment="1">
      <alignment vertical="center"/>
    </xf>
    <xf numFmtId="9" fontId="10" fillId="0" borderId="4" xfId="2" applyFont="1" applyBorder="1" applyAlignment="1">
      <alignment vertical="center"/>
    </xf>
    <xf numFmtId="16" fontId="2" fillId="0" borderId="4" xfId="0" quotePrefix="1" applyNumberFormat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" fontId="5" fillId="2" borderId="4" xfId="3" applyNumberFormat="1" applyFont="1" applyFill="1" applyBorder="1" applyAlignment="1">
      <alignment vertical="center" wrapText="1"/>
    </xf>
    <xf numFmtId="1" fontId="4" fillId="0" borderId="4" xfId="3" applyNumberFormat="1" applyFont="1" applyBorder="1" applyAlignment="1">
      <alignment vertical="center" wrapText="1"/>
    </xf>
    <xf numFmtId="1" fontId="0" fillId="0" borderId="4" xfId="0" applyNumberFormat="1" applyBorder="1"/>
    <xf numFmtId="166" fontId="5" fillId="2" borderId="4" xfId="3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4" xfId="3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4" xfId="3" applyFont="1" applyFill="1" applyBorder="1" applyAlignment="1">
      <alignment horizontal="center" vertical="center" wrapText="1"/>
    </xf>
    <xf numFmtId="0" fontId="4" fillId="0" borderId="4" xfId="3" quotePrefix="1" applyFont="1" applyFill="1" applyBorder="1" applyAlignment="1">
      <alignment horizontal="center" vertical="center" wrapText="1"/>
    </xf>
    <xf numFmtId="0" fontId="4" fillId="0" borderId="4" xfId="3" applyFont="1" applyFill="1" applyBorder="1" applyAlignment="1">
      <alignment horizontal="center" vertical="center" wrapText="1"/>
    </xf>
    <xf numFmtId="166" fontId="0" fillId="0" borderId="4" xfId="0" applyNumberFormat="1" applyBorder="1"/>
    <xf numFmtId="9" fontId="0" fillId="0" borderId="4" xfId="2" applyNumberFormat="1" applyFont="1" applyBorder="1"/>
    <xf numFmtId="9" fontId="0" fillId="0" borderId="4" xfId="0" applyNumberFormat="1" applyBorder="1"/>
    <xf numFmtId="0" fontId="2" fillId="0" borderId="2" xfId="0" applyFont="1" applyFill="1" applyBorder="1" applyAlignment="1">
      <alignment horizontal="center" wrapText="1"/>
    </xf>
    <xf numFmtId="0" fontId="2" fillId="0" borderId="7" xfId="0" applyFont="1" applyFill="1" applyBorder="1" applyAlignment="1">
      <alignment horizontal="center" wrapText="1"/>
    </xf>
    <xf numFmtId="0" fontId="2" fillId="0" borderId="4" xfId="0" applyFont="1" applyFill="1" applyBorder="1" applyAlignment="1">
      <alignment wrapText="1"/>
    </xf>
  </cellXfs>
  <cellStyles count="6">
    <cellStyle name="Comma" xfId="1" builtinId="3"/>
    <cellStyle name="Normal" xfId="0" builtinId="0"/>
    <cellStyle name="Normal 2" xfId="3" xr:uid="{E46A58A0-1B38-4921-8DA3-4AA597AB269E}"/>
    <cellStyle name="Normal 5 2 2" xfId="5" xr:uid="{FF012F4F-F4E6-4AF1-B496-9A13D76F786A}"/>
    <cellStyle name="Percent" xfId="2" builtinId="5"/>
    <cellStyle name="標準_1問題1シートBlank" xfId="4" xr:uid="{A683D387-F1ED-42C3-928D-68831043DF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AA87E-D01F-4073-9415-9ED2187F1400}">
  <dimension ref="A1:M51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N8" sqref="N8"/>
    </sheetView>
  </sheetViews>
  <sheetFormatPr defaultRowHeight="15"/>
  <sheetData>
    <row r="1" spans="1:13">
      <c r="A1" s="6" t="s">
        <v>24</v>
      </c>
    </row>
    <row r="2" spans="1:13" ht="15" customHeight="1">
      <c r="A2" s="41" t="s">
        <v>8</v>
      </c>
      <c r="B2" s="41" t="s">
        <v>9</v>
      </c>
      <c r="C2" s="46" t="s">
        <v>0</v>
      </c>
      <c r="D2" s="46"/>
      <c r="E2" s="46"/>
      <c r="F2" s="46" t="s">
        <v>22</v>
      </c>
      <c r="G2" s="46"/>
      <c r="H2" s="46"/>
      <c r="I2" s="46" t="s">
        <v>23</v>
      </c>
      <c r="J2" s="46"/>
      <c r="K2" s="46"/>
      <c r="L2" s="52" t="s">
        <v>168</v>
      </c>
      <c r="M2" s="53"/>
    </row>
    <row r="3" spans="1:13">
      <c r="A3" s="42"/>
      <c r="B3" s="42"/>
      <c r="C3" s="47" t="s">
        <v>1</v>
      </c>
      <c r="D3" s="48" t="s">
        <v>2</v>
      </c>
      <c r="E3" s="48" t="s">
        <v>3</v>
      </c>
      <c r="F3" s="47" t="s">
        <v>1</v>
      </c>
      <c r="G3" s="48" t="s">
        <v>2</v>
      </c>
      <c r="H3" s="48" t="s">
        <v>3</v>
      </c>
      <c r="I3" s="47" t="s">
        <v>1</v>
      </c>
      <c r="J3" s="48" t="s">
        <v>2</v>
      </c>
      <c r="K3" s="48" t="s">
        <v>3</v>
      </c>
      <c r="L3" s="48" t="s">
        <v>169</v>
      </c>
      <c r="M3" s="54" t="s">
        <v>170</v>
      </c>
    </row>
    <row r="4" spans="1:13">
      <c r="A4" s="2" t="s">
        <v>5</v>
      </c>
      <c r="B4" s="2" t="s">
        <v>10</v>
      </c>
      <c r="C4" s="2">
        <v>2</v>
      </c>
      <c r="D4" s="2">
        <v>9</v>
      </c>
      <c r="E4" s="3">
        <f>SUM(C4:D4)</f>
        <v>11</v>
      </c>
      <c r="F4" s="2">
        <v>2</v>
      </c>
      <c r="G4" s="2">
        <v>9</v>
      </c>
      <c r="H4" s="3">
        <f>SUM(F4:G4)</f>
        <v>11</v>
      </c>
      <c r="I4" s="4">
        <v>2</v>
      </c>
      <c r="J4" s="4">
        <v>9.56</v>
      </c>
      <c r="K4" s="4">
        <f>J4+I4</f>
        <v>11.56</v>
      </c>
      <c r="L4" s="24">
        <f>K4/H4</f>
        <v>1.050909090909091</v>
      </c>
      <c r="M4" s="4" t="str">
        <f>IF(L4&gt;100%,"Overload",IF(AND(L4&gt;95%,L4&lt;=100%),"High load",IF(AND(L4&gt;=90%,L4&lt;=95%),"Balanced","Less load")))</f>
        <v>Overload</v>
      </c>
    </row>
    <row r="5" spans="1:13">
      <c r="A5" s="2" t="s">
        <v>5</v>
      </c>
      <c r="B5" s="2" t="s">
        <v>11</v>
      </c>
      <c r="C5" s="2">
        <v>2</v>
      </c>
      <c r="D5" s="2">
        <v>9</v>
      </c>
      <c r="E5" s="3">
        <f t="shared" ref="E5" si="0">SUM(C5:D5)</f>
        <v>11</v>
      </c>
      <c r="F5" s="2">
        <v>2</v>
      </c>
      <c r="G5" s="2">
        <v>9</v>
      </c>
      <c r="H5" s="3">
        <f t="shared" ref="H5" si="1">SUM(F5:G5)</f>
        <v>11</v>
      </c>
      <c r="I5" s="4">
        <v>2</v>
      </c>
      <c r="J5" s="4">
        <v>9.3800000000000008</v>
      </c>
      <c r="K5" s="4">
        <f>J5+I5</f>
        <v>11.38</v>
      </c>
      <c r="L5" s="24">
        <f>K5/H5</f>
        <v>1.0345454545454547</v>
      </c>
      <c r="M5" s="4" t="str">
        <f>IF(L5&gt;100%,"Overload",IF(AND(L5&gt;95%,L5&lt;=100%),"High load",IF(AND(L5&gt;=90%,L5&lt;=95%),"Balanced","Less load")))</f>
        <v>Overload</v>
      </c>
    </row>
    <row r="6" spans="1:13">
      <c r="A6" s="2" t="s">
        <v>5</v>
      </c>
      <c r="B6" s="2" t="s">
        <v>12</v>
      </c>
      <c r="C6" s="2"/>
      <c r="D6" s="2"/>
      <c r="E6" s="3"/>
      <c r="F6" s="2"/>
      <c r="G6" s="2"/>
      <c r="H6" s="3"/>
      <c r="I6" s="4"/>
      <c r="J6" s="4"/>
      <c r="K6" s="4"/>
      <c r="L6" s="4"/>
      <c r="M6" s="4"/>
    </row>
    <row r="7" spans="1:13">
      <c r="A7" s="2" t="s">
        <v>5</v>
      </c>
      <c r="B7" s="2" t="s">
        <v>13</v>
      </c>
      <c r="C7" s="2"/>
      <c r="D7" s="2"/>
      <c r="E7" s="3"/>
      <c r="F7" s="2"/>
      <c r="G7" s="2"/>
      <c r="H7" s="3"/>
      <c r="I7" s="4"/>
      <c r="J7" s="4"/>
      <c r="K7" s="4"/>
      <c r="L7" s="4"/>
      <c r="M7" s="4"/>
    </row>
    <row r="8" spans="1:13">
      <c r="A8" s="2" t="s">
        <v>5</v>
      </c>
      <c r="B8" s="2" t="s">
        <v>14</v>
      </c>
      <c r="C8" s="2"/>
      <c r="D8" s="2"/>
      <c r="E8" s="4"/>
      <c r="F8" s="2"/>
      <c r="G8" s="2"/>
      <c r="H8" s="4"/>
      <c r="I8" s="4"/>
      <c r="J8" s="4"/>
      <c r="K8" s="4"/>
      <c r="L8" s="4"/>
      <c r="M8" s="4"/>
    </row>
    <row r="9" spans="1:13">
      <c r="A9" s="2" t="s">
        <v>5</v>
      </c>
      <c r="B9" s="2" t="s">
        <v>15</v>
      </c>
      <c r="C9" s="2"/>
      <c r="D9" s="2"/>
      <c r="E9" s="4"/>
      <c r="F9" s="2"/>
      <c r="G9" s="2"/>
      <c r="H9" s="4"/>
      <c r="I9" s="4"/>
      <c r="J9" s="4"/>
      <c r="K9" s="4"/>
      <c r="L9" s="4"/>
      <c r="M9" s="4"/>
    </row>
    <row r="10" spans="1:13">
      <c r="A10" s="2" t="s">
        <v>5</v>
      </c>
      <c r="B10" s="2" t="s">
        <v>16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>
      <c r="A11" s="2" t="s">
        <v>5</v>
      </c>
      <c r="B11" s="2" t="s">
        <v>17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>
      <c r="A12" s="2" t="s">
        <v>5</v>
      </c>
      <c r="B12" s="2" t="s">
        <v>18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>
      <c r="A13" s="2" t="s">
        <v>5</v>
      </c>
      <c r="B13" s="2" t="s">
        <v>19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>
      <c r="A14" s="2" t="s">
        <v>5</v>
      </c>
      <c r="B14" s="2" t="s">
        <v>20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>
      <c r="A15" s="2" t="s">
        <v>5</v>
      </c>
      <c r="B15" s="2" t="s">
        <v>21</v>
      </c>
      <c r="C15" s="4"/>
      <c r="D15" s="4"/>
      <c r="E15" s="51">
        <f>L17</f>
        <v>0.99090909090909096</v>
      </c>
      <c r="F15" s="4"/>
      <c r="G15" s="4"/>
      <c r="H15" s="4"/>
      <c r="I15" s="4"/>
      <c r="J15" s="4"/>
      <c r="K15" s="4"/>
      <c r="L15" s="4"/>
      <c r="M15" s="4"/>
    </row>
    <row r="16" spans="1:13">
      <c r="A16" s="2" t="s">
        <v>4</v>
      </c>
      <c r="B16" s="2" t="s">
        <v>10</v>
      </c>
      <c r="C16" s="1">
        <v>2</v>
      </c>
      <c r="D16" s="1">
        <v>20</v>
      </c>
      <c r="E16" s="3">
        <f t="shared" ref="E16:E17" si="2">SUM(C16:D16)</f>
        <v>22</v>
      </c>
      <c r="F16" s="1">
        <v>2</v>
      </c>
      <c r="G16" s="1">
        <v>20</v>
      </c>
      <c r="H16" s="3">
        <f t="shared" ref="H16:H17" si="3">SUM(F16:G16)</f>
        <v>22</v>
      </c>
      <c r="I16" s="4">
        <v>2</v>
      </c>
      <c r="J16" s="4">
        <v>20.5</v>
      </c>
      <c r="K16" s="4">
        <f>J16+I16</f>
        <v>22.5</v>
      </c>
      <c r="L16" s="24">
        <f>K16/H16</f>
        <v>1.0227272727272727</v>
      </c>
      <c r="M16" s="4" t="str">
        <f>IF(L16&gt;100%,"Overload",IF(AND(L16&gt;95%,L16&lt;=100%),"High load",IF(AND(L16&gt;=90%,L16&lt;=95%),"Balanced","Less load")))</f>
        <v>Overload</v>
      </c>
    </row>
    <row r="17" spans="1:13">
      <c r="A17" s="2" t="s">
        <v>4</v>
      </c>
      <c r="B17" s="2" t="s">
        <v>11</v>
      </c>
      <c r="C17" s="1">
        <v>2</v>
      </c>
      <c r="D17" s="1">
        <v>20</v>
      </c>
      <c r="E17" s="3">
        <f t="shared" si="2"/>
        <v>22</v>
      </c>
      <c r="F17" s="1">
        <v>2</v>
      </c>
      <c r="G17" s="1">
        <v>20</v>
      </c>
      <c r="H17" s="3">
        <f t="shared" si="3"/>
        <v>22</v>
      </c>
      <c r="I17" s="4">
        <v>2</v>
      </c>
      <c r="J17" s="4">
        <v>19.8</v>
      </c>
      <c r="K17" s="4">
        <f>J17+I17</f>
        <v>21.8</v>
      </c>
      <c r="L17" s="50">
        <f>K17/H17</f>
        <v>0.99090909090909096</v>
      </c>
      <c r="M17" s="4" t="str">
        <f>IF(L17&gt;100%,"Overload",IF(AND(L17&gt;95%,L17&lt;=100%),"High load",IF(AND(L17&gt;=90%,L17&lt;=95%),"Balanced","Less load")))</f>
        <v>High load</v>
      </c>
    </row>
    <row r="18" spans="1:13">
      <c r="A18" s="2" t="s">
        <v>4</v>
      </c>
      <c r="B18" s="2" t="s">
        <v>12</v>
      </c>
      <c r="C18" s="1"/>
      <c r="D18" s="1"/>
      <c r="E18" s="3"/>
      <c r="F18" s="1"/>
      <c r="G18" s="1"/>
      <c r="H18" s="3"/>
      <c r="I18" s="4"/>
      <c r="J18" s="4"/>
      <c r="K18" s="4"/>
      <c r="L18" s="51"/>
      <c r="M18" s="4"/>
    </row>
    <row r="19" spans="1:13">
      <c r="A19" s="2" t="s">
        <v>4</v>
      </c>
      <c r="B19" s="2" t="s">
        <v>13</v>
      </c>
      <c r="C19" s="1"/>
      <c r="D19" s="1"/>
      <c r="E19" s="3"/>
      <c r="F19" s="1"/>
      <c r="G19" s="1"/>
      <c r="H19" s="3"/>
      <c r="I19" s="4"/>
      <c r="J19" s="4"/>
      <c r="K19" s="4"/>
      <c r="L19" s="4"/>
      <c r="M19" s="4"/>
    </row>
    <row r="20" spans="1:13">
      <c r="A20" s="2" t="s">
        <v>4</v>
      </c>
      <c r="B20" s="2" t="s">
        <v>14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>
      <c r="A21" s="2" t="s">
        <v>4</v>
      </c>
      <c r="B21" s="2" t="s">
        <v>15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>
      <c r="A22" s="2" t="s">
        <v>4</v>
      </c>
      <c r="B22" s="2" t="s">
        <v>16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>
      <c r="A23" s="2" t="s">
        <v>4</v>
      </c>
      <c r="B23" s="2" t="s">
        <v>17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>
      <c r="A24" s="2" t="s">
        <v>4</v>
      </c>
      <c r="B24" s="2" t="s">
        <v>18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>
      <c r="A25" s="2" t="s">
        <v>4</v>
      </c>
      <c r="B25" s="2" t="s">
        <v>19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>
      <c r="A26" s="2" t="s">
        <v>4</v>
      </c>
      <c r="B26" s="2" t="s">
        <v>20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>
      <c r="A27" s="2" t="s">
        <v>4</v>
      </c>
      <c r="B27" s="2" t="s">
        <v>21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>
      <c r="A28" s="2" t="s">
        <v>6</v>
      </c>
      <c r="B28" s="2" t="s">
        <v>10</v>
      </c>
      <c r="C28" s="1">
        <v>1</v>
      </c>
      <c r="D28" s="1">
        <v>17</v>
      </c>
      <c r="E28" s="3">
        <f t="shared" ref="E28:E29" si="4">SUM(C28:D28)</f>
        <v>18</v>
      </c>
      <c r="F28" s="1">
        <v>1</v>
      </c>
      <c r="G28" s="1">
        <v>17</v>
      </c>
      <c r="H28" s="3">
        <f>SUM(F28:G28)</f>
        <v>18</v>
      </c>
      <c r="I28" s="4">
        <v>1</v>
      </c>
      <c r="J28" s="37">
        <v>17.5</v>
      </c>
      <c r="K28" s="49">
        <f>J28+I28</f>
        <v>18.5</v>
      </c>
      <c r="L28" s="24">
        <f>K28/H28</f>
        <v>1.0277777777777777</v>
      </c>
      <c r="M28" s="4" t="str">
        <f>IF(K28&gt;100%,"Overload",IF(AND(K28&gt;95%,K28&lt;=100%),"High load",IF(AND(K28&gt;=90%,K28&lt;=95%),"Balanced","Less load")))</f>
        <v>Overload</v>
      </c>
    </row>
    <row r="29" spans="1:13">
      <c r="A29" s="2" t="s">
        <v>6</v>
      </c>
      <c r="B29" s="2" t="s">
        <v>11</v>
      </c>
      <c r="C29" s="1">
        <v>1</v>
      </c>
      <c r="D29" s="1">
        <v>17</v>
      </c>
      <c r="E29" s="3">
        <f t="shared" si="4"/>
        <v>18</v>
      </c>
      <c r="F29" s="1">
        <v>1</v>
      </c>
      <c r="G29" s="1">
        <v>17</v>
      </c>
      <c r="H29" s="3">
        <f t="shared" ref="H29" si="5">SUM(F29:G29)</f>
        <v>18</v>
      </c>
      <c r="I29" s="4">
        <v>1</v>
      </c>
      <c r="J29" s="4">
        <v>17.8</v>
      </c>
      <c r="K29" s="49">
        <f>J29+I29</f>
        <v>18.8</v>
      </c>
      <c r="L29" s="24">
        <f>K29/H29</f>
        <v>1.0444444444444445</v>
      </c>
      <c r="M29" s="4" t="str">
        <f>IF(K29&gt;100%,"Overload",IF(AND(K29&gt;95%,K29&lt;=100%),"High load",IF(AND(K29&gt;=90%,K29&lt;=95%),"Balanced","Less load")))</f>
        <v>Overload</v>
      </c>
    </row>
    <row r="30" spans="1:13">
      <c r="A30" s="2" t="s">
        <v>6</v>
      </c>
      <c r="B30" s="2" t="s">
        <v>12</v>
      </c>
      <c r="C30" s="1"/>
      <c r="D30" s="1"/>
      <c r="E30" s="3"/>
      <c r="F30" s="1"/>
      <c r="G30" s="1"/>
      <c r="H30" s="3"/>
      <c r="I30" s="4"/>
      <c r="J30" s="4"/>
      <c r="K30" s="4"/>
      <c r="L30" s="4"/>
      <c r="M30" s="4"/>
    </row>
    <row r="31" spans="1:13">
      <c r="A31" s="2" t="s">
        <v>6</v>
      </c>
      <c r="B31" s="2" t="s">
        <v>13</v>
      </c>
      <c r="C31" s="1"/>
      <c r="D31" s="1"/>
      <c r="E31" s="3"/>
      <c r="F31" s="1"/>
      <c r="G31" s="1"/>
      <c r="H31" s="3"/>
      <c r="I31" s="4"/>
      <c r="J31" s="4"/>
      <c r="K31" s="4"/>
      <c r="L31" s="4"/>
      <c r="M31" s="4"/>
    </row>
    <row r="32" spans="1:13">
      <c r="A32" s="2" t="s">
        <v>6</v>
      </c>
      <c r="B32" s="2" t="s">
        <v>14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>
      <c r="A33" s="2" t="s">
        <v>6</v>
      </c>
      <c r="B33" s="2" t="s">
        <v>15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>
      <c r="A34" s="2" t="s">
        <v>6</v>
      </c>
      <c r="B34" s="2" t="s">
        <v>16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>
      <c r="A35" s="2" t="s">
        <v>6</v>
      </c>
      <c r="B35" s="2" t="s">
        <v>17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>
      <c r="A36" s="2" t="s">
        <v>6</v>
      </c>
      <c r="B36" s="2" t="s">
        <v>18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>
      <c r="A37" s="2" t="s">
        <v>6</v>
      </c>
      <c r="B37" s="2" t="s">
        <v>19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>
      <c r="A38" s="2" t="s">
        <v>6</v>
      </c>
      <c r="B38" s="2" t="s">
        <v>20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>
      <c r="A39" s="2" t="s">
        <v>6</v>
      </c>
      <c r="B39" s="2" t="s">
        <v>21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>
      <c r="A40" s="2" t="s">
        <v>7</v>
      </c>
      <c r="B40" s="2" t="s">
        <v>10</v>
      </c>
      <c r="C40" s="1"/>
      <c r="D40" s="1"/>
      <c r="E40" s="4"/>
      <c r="F40" s="4"/>
      <c r="G40" s="4"/>
      <c r="H40" s="4"/>
      <c r="I40" s="4"/>
      <c r="J40" s="4"/>
      <c r="K40" s="4"/>
      <c r="L40" s="4"/>
      <c r="M40" s="4"/>
    </row>
    <row r="41" spans="1:13">
      <c r="A41" s="2" t="s">
        <v>7</v>
      </c>
      <c r="B41" s="2" t="s">
        <v>11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>
      <c r="A42" s="2" t="s">
        <v>7</v>
      </c>
      <c r="B42" s="2" t="s">
        <v>12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2" t="s">
        <v>7</v>
      </c>
      <c r="B43" s="2" t="s">
        <v>13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2" t="s">
        <v>7</v>
      </c>
      <c r="B44" s="2" t="s">
        <v>14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s="2" t="s">
        <v>7</v>
      </c>
      <c r="B45" s="2" t="s">
        <v>15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>
      <c r="A46" s="2" t="s">
        <v>7</v>
      </c>
      <c r="B46" s="2" t="s">
        <v>16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>
      <c r="A47" s="2" t="s">
        <v>7</v>
      </c>
      <c r="B47" s="2" t="s">
        <v>17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>
      <c r="A48" s="2" t="s">
        <v>7</v>
      </c>
      <c r="B48" s="2" t="s">
        <v>18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>
      <c r="A49" s="2" t="s">
        <v>7</v>
      </c>
      <c r="B49" s="2" t="s">
        <v>19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2" t="s">
        <v>7</v>
      </c>
      <c r="B50" s="2" t="s">
        <v>20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>
      <c r="A51" s="2" t="s">
        <v>7</v>
      </c>
      <c r="B51" s="2" t="s">
        <v>21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</sheetData>
  <mergeCells count="6">
    <mergeCell ref="L2:M2"/>
    <mergeCell ref="C2:E2"/>
    <mergeCell ref="F2:H2"/>
    <mergeCell ref="I2:K2"/>
    <mergeCell ref="A2:A3"/>
    <mergeCell ref="B2:B3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4AF40-C5AA-46D6-8078-073E3F193A58}">
  <dimension ref="A1:T5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20" sqref="C20"/>
    </sheetView>
  </sheetViews>
  <sheetFormatPr defaultRowHeight="15"/>
  <cols>
    <col min="3" max="3" width="10.28515625" customWidth="1"/>
    <col min="4" max="5" width="6.140625" customWidth="1"/>
    <col min="6" max="6" width="7.140625" customWidth="1"/>
    <col min="7" max="7" width="7.42578125" customWidth="1"/>
    <col min="8" max="8" width="7.7109375" customWidth="1"/>
    <col min="9" max="9" width="7.85546875" customWidth="1"/>
    <col min="10" max="20" width="6.140625" customWidth="1"/>
  </cols>
  <sheetData>
    <row r="1" spans="1:20">
      <c r="A1" s="6" t="s">
        <v>49</v>
      </c>
    </row>
    <row r="2" spans="1:20" ht="24" customHeight="1">
      <c r="A2" s="38" t="s">
        <v>8</v>
      </c>
      <c r="B2" s="38" t="s">
        <v>9</v>
      </c>
      <c r="C2" s="43" t="s">
        <v>42</v>
      </c>
      <c r="D2" s="43" t="s">
        <v>41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3"/>
    </row>
    <row r="3" spans="1:20" ht="15" customHeight="1">
      <c r="A3" s="38"/>
      <c r="B3" s="38"/>
      <c r="C3" s="43"/>
      <c r="D3" s="5" t="s">
        <v>25</v>
      </c>
      <c r="E3" s="5" t="s">
        <v>26</v>
      </c>
      <c r="F3" s="5" t="s">
        <v>27</v>
      </c>
      <c r="G3" s="10" t="s">
        <v>28</v>
      </c>
      <c r="H3" s="10" t="s">
        <v>29</v>
      </c>
      <c r="I3" s="10" t="s">
        <v>30</v>
      </c>
      <c r="J3" s="5" t="s">
        <v>31</v>
      </c>
      <c r="K3" s="5" t="s">
        <v>32</v>
      </c>
      <c r="L3" s="5" t="s">
        <v>33</v>
      </c>
      <c r="M3" s="5" t="s">
        <v>34</v>
      </c>
      <c r="N3" s="5" t="s">
        <v>35</v>
      </c>
      <c r="O3" s="11" t="s">
        <v>36</v>
      </c>
      <c r="P3" s="11" t="s">
        <v>37</v>
      </c>
      <c r="Q3" s="11" t="s">
        <v>38</v>
      </c>
      <c r="R3" s="11" t="s">
        <v>39</v>
      </c>
      <c r="S3" s="11" t="s">
        <v>40</v>
      </c>
      <c r="T3" s="11" t="s">
        <v>48</v>
      </c>
    </row>
    <row r="4" spans="1:20">
      <c r="A4" s="2" t="s">
        <v>5</v>
      </c>
      <c r="B4" s="2" t="s">
        <v>10</v>
      </c>
      <c r="C4" s="2">
        <v>68</v>
      </c>
      <c r="D4" s="4">
        <v>670</v>
      </c>
      <c r="E4" s="4">
        <v>364</v>
      </c>
      <c r="F4" s="4">
        <v>130</v>
      </c>
      <c r="G4" s="4">
        <v>171</v>
      </c>
      <c r="H4" s="4">
        <v>287</v>
      </c>
      <c r="I4" s="4">
        <v>186</v>
      </c>
      <c r="J4" s="4">
        <v>256</v>
      </c>
      <c r="K4" s="4">
        <v>237</v>
      </c>
      <c r="L4" s="4">
        <v>25</v>
      </c>
      <c r="M4" s="4">
        <v>2</v>
      </c>
      <c r="N4" s="4">
        <v>14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15">
        <f>SUM(D4:S4)</f>
        <v>2342</v>
      </c>
    </row>
    <row r="5" spans="1:20">
      <c r="A5" s="2" t="s">
        <v>5</v>
      </c>
      <c r="B5" s="2" t="s">
        <v>11</v>
      </c>
      <c r="C5" s="2">
        <v>75</v>
      </c>
      <c r="D5" s="4">
        <v>658</v>
      </c>
      <c r="E5" s="4">
        <v>366</v>
      </c>
      <c r="F5" s="4">
        <v>121</v>
      </c>
      <c r="G5" s="4">
        <v>172</v>
      </c>
      <c r="H5" s="4">
        <v>296</v>
      </c>
      <c r="I5" s="4">
        <v>182</v>
      </c>
      <c r="J5" s="4">
        <v>341</v>
      </c>
      <c r="K5" s="4">
        <v>248</v>
      </c>
      <c r="L5" s="4">
        <v>14</v>
      </c>
      <c r="M5" s="4">
        <v>3</v>
      </c>
      <c r="N5" s="4">
        <v>12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15">
        <f>SUM(D5:S5)</f>
        <v>2413</v>
      </c>
    </row>
    <row r="6" spans="1:20">
      <c r="A6" s="2" t="s">
        <v>5</v>
      </c>
      <c r="B6" s="2" t="s">
        <v>12</v>
      </c>
      <c r="C6" s="2"/>
      <c r="D6" s="4"/>
      <c r="E6" s="7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>
      <c r="A7" s="2" t="s">
        <v>5</v>
      </c>
      <c r="B7" s="2" t="s">
        <v>13</v>
      </c>
      <c r="C7" s="2"/>
      <c r="D7" s="4"/>
      <c r="E7" s="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>
      <c r="A8" s="2" t="s">
        <v>5</v>
      </c>
      <c r="B8" s="2" t="s">
        <v>14</v>
      </c>
      <c r="C8" s="2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>
      <c r="A9" s="2" t="s">
        <v>5</v>
      </c>
      <c r="B9" s="2" t="s">
        <v>15</v>
      </c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>
      <c r="A10" s="2" t="s">
        <v>5</v>
      </c>
      <c r="B10" s="2" t="s">
        <v>16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>
      <c r="A11" s="2" t="s">
        <v>5</v>
      </c>
      <c r="B11" s="2" t="s">
        <v>17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>
      <c r="A12" s="2" t="s">
        <v>5</v>
      </c>
      <c r="B12" s="2" t="s">
        <v>18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>
      <c r="A13" s="2" t="s">
        <v>5</v>
      </c>
      <c r="B13" s="2" t="s">
        <v>19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>
      <c r="A14" s="2" t="s">
        <v>5</v>
      </c>
      <c r="B14" s="2" t="s">
        <v>20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>
      <c r="A15" s="2" t="s">
        <v>5</v>
      </c>
      <c r="B15" s="2" t="s">
        <v>21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>
      <c r="A16" s="2" t="s">
        <v>4</v>
      </c>
      <c r="B16" s="2" t="s">
        <v>10</v>
      </c>
      <c r="C16" s="1">
        <v>120</v>
      </c>
      <c r="D16" s="8">
        <f>D4*1.5</f>
        <v>1005</v>
      </c>
      <c r="E16" s="7">
        <f>E4*1.7</f>
        <v>618.79999999999995</v>
      </c>
      <c r="F16" s="4">
        <f>F4*2</f>
        <v>260</v>
      </c>
      <c r="G16" s="4">
        <f t="shared" ref="G16:S16" si="0">G4*2</f>
        <v>342</v>
      </c>
      <c r="H16" s="4">
        <f t="shared" si="0"/>
        <v>574</v>
      </c>
      <c r="I16" s="4">
        <f t="shared" si="0"/>
        <v>372</v>
      </c>
      <c r="J16" s="4">
        <f t="shared" si="0"/>
        <v>512</v>
      </c>
      <c r="K16" s="4">
        <f t="shared" si="0"/>
        <v>474</v>
      </c>
      <c r="L16" s="4">
        <f t="shared" si="0"/>
        <v>50</v>
      </c>
      <c r="M16" s="4">
        <f t="shared" si="0"/>
        <v>4</v>
      </c>
      <c r="N16" s="4">
        <f t="shared" si="0"/>
        <v>28</v>
      </c>
      <c r="O16" s="4">
        <v>5</v>
      </c>
      <c r="P16" s="4">
        <v>3</v>
      </c>
      <c r="Q16" s="4">
        <f t="shared" si="0"/>
        <v>0</v>
      </c>
      <c r="R16" s="4">
        <f t="shared" si="0"/>
        <v>0</v>
      </c>
      <c r="S16" s="4">
        <f t="shared" si="0"/>
        <v>0</v>
      </c>
      <c r="T16" s="15">
        <f>SUM(D16:S16)</f>
        <v>4247.8</v>
      </c>
    </row>
    <row r="17" spans="1:20">
      <c r="A17" s="2" t="s">
        <v>4</v>
      </c>
      <c r="B17" s="2" t="s">
        <v>11</v>
      </c>
      <c r="C17" s="1">
        <v>110</v>
      </c>
      <c r="D17" s="8">
        <f>D5*1.5</f>
        <v>987</v>
      </c>
      <c r="E17" s="7">
        <f>E5*1.7</f>
        <v>622.19999999999993</v>
      </c>
      <c r="F17" s="4">
        <f>F5*2</f>
        <v>242</v>
      </c>
      <c r="G17" s="4">
        <f t="shared" ref="G17:S17" si="1">G5*2</f>
        <v>344</v>
      </c>
      <c r="H17" s="4">
        <f t="shared" si="1"/>
        <v>592</v>
      </c>
      <c r="I17" s="4">
        <f t="shared" si="1"/>
        <v>364</v>
      </c>
      <c r="J17" s="4">
        <f t="shared" si="1"/>
        <v>682</v>
      </c>
      <c r="K17" s="4">
        <f t="shared" si="1"/>
        <v>496</v>
      </c>
      <c r="L17" s="4">
        <f t="shared" si="1"/>
        <v>28</v>
      </c>
      <c r="M17" s="4">
        <f t="shared" si="1"/>
        <v>6</v>
      </c>
      <c r="N17" s="4">
        <f t="shared" si="1"/>
        <v>24</v>
      </c>
      <c r="O17" s="4">
        <v>7</v>
      </c>
      <c r="P17" s="4">
        <v>6</v>
      </c>
      <c r="Q17" s="4">
        <f t="shared" si="1"/>
        <v>0</v>
      </c>
      <c r="R17" s="4">
        <f t="shared" si="1"/>
        <v>0</v>
      </c>
      <c r="S17" s="4">
        <f t="shared" si="1"/>
        <v>0</v>
      </c>
      <c r="T17" s="15">
        <f>SUM(D17:S17)</f>
        <v>4400.2</v>
      </c>
    </row>
    <row r="18" spans="1:20">
      <c r="A18" s="2" t="s">
        <v>4</v>
      </c>
      <c r="B18" s="2" t="s">
        <v>12</v>
      </c>
      <c r="C18" s="1"/>
      <c r="D18" s="8"/>
      <c r="E18" s="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0">
      <c r="A19" s="2" t="s">
        <v>4</v>
      </c>
      <c r="B19" s="2" t="s">
        <v>13</v>
      </c>
      <c r="C19" s="1"/>
      <c r="D19" s="8"/>
      <c r="E19" s="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>
      <c r="A20" s="2" t="s">
        <v>4</v>
      </c>
      <c r="B20" s="2" t="s">
        <v>14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0">
      <c r="A21" s="2" t="s">
        <v>4</v>
      </c>
      <c r="B21" s="2" t="s">
        <v>15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1:20">
      <c r="A22" s="2" t="s">
        <v>4</v>
      </c>
      <c r="B22" s="2" t="s">
        <v>16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1:20">
      <c r="A23" s="2" t="s">
        <v>4</v>
      </c>
      <c r="B23" s="2" t="s">
        <v>17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0">
      <c r="A24" s="2" t="s">
        <v>4</v>
      </c>
      <c r="B24" s="2" t="s">
        <v>18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1:20">
      <c r="A25" s="2" t="s">
        <v>4</v>
      </c>
      <c r="B25" s="2" t="s">
        <v>19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1:20">
      <c r="A26" s="2" t="s">
        <v>4</v>
      </c>
      <c r="B26" s="2" t="s">
        <v>20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1:20">
      <c r="A27" s="2" t="s">
        <v>4</v>
      </c>
      <c r="B27" s="2" t="s">
        <v>21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2" t="s">
        <v>6</v>
      </c>
      <c r="B28" s="2" t="s">
        <v>10</v>
      </c>
      <c r="C28" s="1">
        <v>130</v>
      </c>
      <c r="D28" s="34">
        <f>D16*1.5</f>
        <v>1507.5</v>
      </c>
      <c r="E28" s="35">
        <f>E16*1.7</f>
        <v>1051.9599999999998</v>
      </c>
      <c r="F28" s="36">
        <f>F16*2</f>
        <v>520</v>
      </c>
      <c r="G28" s="36">
        <f t="shared" ref="G28:N28" si="2">G16*2</f>
        <v>684</v>
      </c>
      <c r="H28" s="36">
        <f t="shared" si="2"/>
        <v>1148</v>
      </c>
      <c r="I28" s="36">
        <f t="shared" si="2"/>
        <v>744</v>
      </c>
      <c r="J28" s="36">
        <f t="shared" si="2"/>
        <v>1024</v>
      </c>
      <c r="K28" s="36">
        <f t="shared" si="2"/>
        <v>948</v>
      </c>
      <c r="L28" s="36">
        <f t="shared" si="2"/>
        <v>100</v>
      </c>
      <c r="M28" s="36">
        <f t="shared" si="2"/>
        <v>8</v>
      </c>
      <c r="N28" s="36">
        <f t="shared" si="2"/>
        <v>56</v>
      </c>
      <c r="O28" s="36">
        <v>5</v>
      </c>
      <c r="P28" s="36">
        <v>3</v>
      </c>
      <c r="Q28" s="36">
        <f t="shared" ref="Q28:S28" si="3">Q16*2</f>
        <v>0</v>
      </c>
      <c r="R28" s="36">
        <f t="shared" si="3"/>
        <v>0</v>
      </c>
      <c r="S28" s="36">
        <f t="shared" si="3"/>
        <v>0</v>
      </c>
      <c r="T28" s="15">
        <f>SUM(D28:S28)</f>
        <v>7799.46</v>
      </c>
    </row>
    <row r="29" spans="1:20">
      <c r="A29" s="2" t="s">
        <v>6</v>
      </c>
      <c r="B29" s="2" t="s">
        <v>11</v>
      </c>
      <c r="C29" s="1">
        <v>125</v>
      </c>
      <c r="D29" s="34">
        <f>D17*1.5</f>
        <v>1480.5</v>
      </c>
      <c r="E29" s="35">
        <f>E17*1.7</f>
        <v>1057.7399999999998</v>
      </c>
      <c r="F29" s="36">
        <f>F17*2</f>
        <v>484</v>
      </c>
      <c r="G29" s="36">
        <f t="shared" ref="G29:N29" si="4">G17*2</f>
        <v>688</v>
      </c>
      <c r="H29" s="36">
        <f t="shared" si="4"/>
        <v>1184</v>
      </c>
      <c r="I29" s="36">
        <f t="shared" si="4"/>
        <v>728</v>
      </c>
      <c r="J29" s="36">
        <f t="shared" si="4"/>
        <v>1364</v>
      </c>
      <c r="K29" s="36">
        <f t="shared" si="4"/>
        <v>992</v>
      </c>
      <c r="L29" s="36">
        <f t="shared" si="4"/>
        <v>56</v>
      </c>
      <c r="M29" s="36">
        <f t="shared" si="4"/>
        <v>12</v>
      </c>
      <c r="N29" s="36">
        <f t="shared" si="4"/>
        <v>48</v>
      </c>
      <c r="O29" s="36">
        <v>7</v>
      </c>
      <c r="P29" s="36">
        <v>6</v>
      </c>
      <c r="Q29" s="36">
        <f t="shared" ref="Q29:S29" si="5">Q17*2</f>
        <v>0</v>
      </c>
      <c r="R29" s="36">
        <f t="shared" si="5"/>
        <v>0</v>
      </c>
      <c r="S29" s="36">
        <f t="shared" si="5"/>
        <v>0</v>
      </c>
      <c r="T29" s="15">
        <f>SUM(D29:S29)</f>
        <v>8107.24</v>
      </c>
    </row>
    <row r="30" spans="1:20">
      <c r="A30" s="2" t="s">
        <v>6</v>
      </c>
      <c r="B30" s="2" t="s">
        <v>12</v>
      </c>
      <c r="C30" s="1"/>
      <c r="D30" s="8"/>
      <c r="E30" s="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pans="1:20">
      <c r="A31" s="2" t="s">
        <v>6</v>
      </c>
      <c r="B31" s="2" t="s">
        <v>13</v>
      </c>
      <c r="C31" s="1"/>
      <c r="D31" s="8"/>
      <c r="E31" s="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1:20">
      <c r="A32" s="2" t="s">
        <v>6</v>
      </c>
      <c r="B32" s="2" t="s">
        <v>14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pans="1:20">
      <c r="A33" s="2" t="s">
        <v>6</v>
      </c>
      <c r="B33" s="2" t="s">
        <v>15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1:20">
      <c r="A34" s="2" t="s">
        <v>6</v>
      </c>
      <c r="B34" s="2" t="s">
        <v>16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spans="1:20">
      <c r="A35" s="2" t="s">
        <v>6</v>
      </c>
      <c r="B35" s="2" t="s">
        <v>17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1:20">
      <c r="A36" s="2" t="s">
        <v>6</v>
      </c>
      <c r="B36" s="2" t="s">
        <v>18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spans="1:20">
      <c r="A37" s="2" t="s">
        <v>6</v>
      </c>
      <c r="B37" s="2" t="s">
        <v>19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>
      <c r="A38" s="2" t="s">
        <v>6</v>
      </c>
      <c r="B38" s="2" t="s">
        <v>20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1:20">
      <c r="A39" s="2" t="s">
        <v>6</v>
      </c>
      <c r="B39" s="2" t="s">
        <v>21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2" t="s">
        <v>7</v>
      </c>
      <c r="B40" s="2" t="s">
        <v>10</v>
      </c>
      <c r="C40" s="1"/>
      <c r="D40" s="8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spans="1:20">
      <c r="A41" s="2" t="s">
        <v>7</v>
      </c>
      <c r="B41" s="2" t="s">
        <v>11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>
      <c r="A42" s="2" t="s">
        <v>7</v>
      </c>
      <c r="B42" s="2" t="s">
        <v>12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pans="1:20">
      <c r="A43" s="2" t="s">
        <v>7</v>
      </c>
      <c r="B43" s="2" t="s">
        <v>13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1:20">
      <c r="A44" s="2" t="s">
        <v>7</v>
      </c>
      <c r="B44" s="2" t="s">
        <v>14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2" t="s">
        <v>7</v>
      </c>
      <c r="B45" s="2" t="s">
        <v>15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spans="1:20">
      <c r="A46" s="2" t="s">
        <v>7</v>
      </c>
      <c r="B46" s="2" t="s">
        <v>16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pans="1:20">
      <c r="A47" s="2" t="s">
        <v>7</v>
      </c>
      <c r="B47" s="2" t="s">
        <v>17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2" t="s">
        <v>7</v>
      </c>
      <c r="B48" s="2" t="s">
        <v>18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>
      <c r="A49" s="2" t="s">
        <v>7</v>
      </c>
      <c r="B49" s="2" t="s">
        <v>19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>
      <c r="A50" s="2" t="s">
        <v>7</v>
      </c>
      <c r="B50" s="2" t="s">
        <v>20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1:20">
      <c r="A51" s="2" t="s">
        <v>7</v>
      </c>
      <c r="B51" s="2" t="s">
        <v>21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</sheetData>
  <mergeCells count="4">
    <mergeCell ref="C2:C3"/>
    <mergeCell ref="A2:A3"/>
    <mergeCell ref="B2:B3"/>
    <mergeCell ref="D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E6D61-EE10-43A8-AADB-BC76383CE52B}">
  <dimension ref="A1:M5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11" sqref="F11"/>
    </sheetView>
  </sheetViews>
  <sheetFormatPr defaultRowHeight="15"/>
  <cols>
    <col min="3" max="3" width="16" customWidth="1"/>
    <col min="5" max="5" width="15.28515625" customWidth="1"/>
    <col min="6" max="6" width="9.85546875" customWidth="1"/>
    <col min="7" max="7" width="15.5703125" customWidth="1"/>
    <col min="8" max="8" width="10.85546875" customWidth="1"/>
    <col min="9" max="9" width="16.5703125" customWidth="1"/>
    <col min="10" max="10" width="13.140625" customWidth="1"/>
    <col min="11" max="11" width="15.85546875" customWidth="1"/>
    <col min="12" max="12" width="13.85546875" customWidth="1"/>
    <col min="13" max="13" width="16.5703125" customWidth="1"/>
  </cols>
  <sheetData>
    <row r="1" spans="1:13">
      <c r="A1" s="6" t="s">
        <v>49</v>
      </c>
      <c r="D1" s="39"/>
      <c r="E1" s="39"/>
    </row>
    <row r="2" spans="1:13">
      <c r="A2" s="38" t="s">
        <v>8</v>
      </c>
      <c r="B2" s="38" t="s">
        <v>9</v>
      </c>
      <c r="C2" s="38" t="s">
        <v>54</v>
      </c>
      <c r="D2" s="40" t="s">
        <v>55</v>
      </c>
      <c r="E2" s="40"/>
      <c r="F2" s="40" t="s">
        <v>56</v>
      </c>
      <c r="G2" s="40"/>
      <c r="H2" s="40" t="s">
        <v>57</v>
      </c>
      <c r="I2" s="40"/>
      <c r="J2" s="40" t="s">
        <v>58</v>
      </c>
      <c r="K2" s="40"/>
      <c r="L2" s="38" t="s">
        <v>59</v>
      </c>
      <c r="M2" s="38" t="s">
        <v>60</v>
      </c>
    </row>
    <row r="3" spans="1:13" ht="24" customHeight="1">
      <c r="A3" s="38"/>
      <c r="B3" s="38"/>
      <c r="C3" s="38"/>
      <c r="D3" s="9" t="s">
        <v>50</v>
      </c>
      <c r="E3" s="9" t="s">
        <v>51</v>
      </c>
      <c r="F3" s="9" t="s">
        <v>50</v>
      </c>
      <c r="G3" s="9" t="s">
        <v>51</v>
      </c>
      <c r="H3" s="9" t="s">
        <v>50</v>
      </c>
      <c r="I3" s="9" t="s">
        <v>51</v>
      </c>
      <c r="J3" s="9" t="s">
        <v>50</v>
      </c>
      <c r="K3" s="9" t="s">
        <v>51</v>
      </c>
      <c r="L3" s="38"/>
      <c r="M3" s="38"/>
    </row>
    <row r="4" spans="1:13">
      <c r="A4" s="2" t="s">
        <v>5</v>
      </c>
      <c r="B4" s="17" t="s">
        <v>10</v>
      </c>
      <c r="C4" s="20" t="s">
        <v>26</v>
      </c>
      <c r="D4" s="16">
        <v>288</v>
      </c>
      <c r="E4" s="16">
        <v>6912</v>
      </c>
      <c r="F4" s="22"/>
      <c r="G4" s="4"/>
      <c r="H4" s="2">
        <v>86</v>
      </c>
      <c r="I4" s="13">
        <v>860</v>
      </c>
      <c r="J4" s="4">
        <v>25</v>
      </c>
      <c r="K4" s="4">
        <v>0</v>
      </c>
      <c r="L4" s="12">
        <f>E4+G4+I4+K4</f>
        <v>7772</v>
      </c>
      <c r="M4" s="24">
        <f>L4/SUM($L$4:$L$10)</f>
        <v>8.1037682731007449E-2</v>
      </c>
    </row>
    <row r="5" spans="1:13">
      <c r="A5" s="2" t="s">
        <v>5</v>
      </c>
      <c r="B5" s="17" t="s">
        <v>10</v>
      </c>
      <c r="C5" s="20" t="s">
        <v>25</v>
      </c>
      <c r="D5" s="16">
        <v>287</v>
      </c>
      <c r="E5" s="16">
        <v>4879</v>
      </c>
      <c r="F5" s="22"/>
      <c r="G5" s="4"/>
      <c r="H5" s="2">
        <v>380</v>
      </c>
      <c r="I5" s="13">
        <v>725</v>
      </c>
      <c r="J5" s="4">
        <v>2</v>
      </c>
      <c r="K5" s="4">
        <v>245</v>
      </c>
      <c r="L5" s="12">
        <f t="shared" ref="L5:L17" si="0">E5+G5+I5+K5</f>
        <v>5849</v>
      </c>
      <c r="M5" s="24">
        <f t="shared" ref="M5:M10" si="1">L5/SUM($L$4:$L$10)</f>
        <v>6.0986799574583445E-2</v>
      </c>
    </row>
    <row r="6" spans="1:13">
      <c r="A6" s="2" t="s">
        <v>5</v>
      </c>
      <c r="B6" s="17" t="s">
        <v>10</v>
      </c>
      <c r="C6" s="20" t="s">
        <v>43</v>
      </c>
      <c r="D6" s="16">
        <v>226</v>
      </c>
      <c r="E6" s="16">
        <v>5876</v>
      </c>
      <c r="F6" s="22"/>
      <c r="G6" s="4"/>
      <c r="H6" s="2">
        <v>0</v>
      </c>
      <c r="I6" s="13">
        <v>900</v>
      </c>
      <c r="J6" s="4">
        <v>0</v>
      </c>
      <c r="K6" s="4">
        <v>0</v>
      </c>
      <c r="L6" s="12">
        <f t="shared" si="0"/>
        <v>6776</v>
      </c>
      <c r="M6" s="24">
        <f t="shared" si="1"/>
        <v>7.0652513919879881E-2</v>
      </c>
    </row>
    <row r="7" spans="1:13">
      <c r="A7" s="2" t="s">
        <v>5</v>
      </c>
      <c r="B7" s="17" t="s">
        <v>10</v>
      </c>
      <c r="C7" s="20" t="s">
        <v>44</v>
      </c>
      <c r="D7" s="16">
        <v>132</v>
      </c>
      <c r="E7" s="16">
        <v>2376</v>
      </c>
      <c r="F7" s="22"/>
      <c r="G7" s="4"/>
      <c r="H7" s="2">
        <v>1</v>
      </c>
      <c r="I7" s="13">
        <v>5</v>
      </c>
      <c r="J7" s="4">
        <v>51</v>
      </c>
      <c r="K7" s="4">
        <v>235</v>
      </c>
      <c r="L7" s="12">
        <f t="shared" si="0"/>
        <v>2616</v>
      </c>
      <c r="M7" s="24">
        <f t="shared" si="1"/>
        <v>2.727670844368444E-2</v>
      </c>
    </row>
    <row r="8" spans="1:13">
      <c r="A8" s="2" t="s">
        <v>5</v>
      </c>
      <c r="B8" s="17" t="s">
        <v>10</v>
      </c>
      <c r="C8" s="21" t="s">
        <v>45</v>
      </c>
      <c r="D8" s="16">
        <v>1687</v>
      </c>
      <c r="E8" s="16">
        <v>28679</v>
      </c>
      <c r="F8" s="23">
        <v>66</v>
      </c>
      <c r="G8" s="4">
        <v>660</v>
      </c>
      <c r="H8" s="2">
        <v>1310</v>
      </c>
      <c r="I8" s="13">
        <v>-5075</v>
      </c>
      <c r="J8" s="4">
        <v>10</v>
      </c>
      <c r="K8" s="4">
        <v>120</v>
      </c>
      <c r="L8" s="12">
        <f t="shared" si="0"/>
        <v>24384</v>
      </c>
      <c r="M8" s="24">
        <f t="shared" si="1"/>
        <v>0.25424895209893023</v>
      </c>
    </row>
    <row r="9" spans="1:13">
      <c r="A9" s="2" t="s">
        <v>5</v>
      </c>
      <c r="B9" s="17" t="s">
        <v>10</v>
      </c>
      <c r="C9" s="21" t="s">
        <v>46</v>
      </c>
      <c r="D9" s="16">
        <v>1496</v>
      </c>
      <c r="E9" s="16">
        <v>40392</v>
      </c>
      <c r="F9" s="22"/>
      <c r="G9" s="4"/>
      <c r="H9" s="2">
        <v>72</v>
      </c>
      <c r="I9" s="13">
        <v>3150</v>
      </c>
      <c r="J9" s="15">
        <v>65</v>
      </c>
      <c r="K9" s="4">
        <v>2835</v>
      </c>
      <c r="L9" s="12">
        <f t="shared" si="0"/>
        <v>46377</v>
      </c>
      <c r="M9" s="24">
        <f t="shared" si="1"/>
        <v>0.4835672429253644</v>
      </c>
    </row>
    <row r="10" spans="1:13">
      <c r="A10" s="2" t="s">
        <v>5</v>
      </c>
      <c r="B10" s="17" t="s">
        <v>10</v>
      </c>
      <c r="C10" s="21" t="s">
        <v>47</v>
      </c>
      <c r="D10" s="16">
        <v>164</v>
      </c>
      <c r="E10" s="16">
        <v>2132</v>
      </c>
      <c r="F10" s="22"/>
      <c r="G10" s="4"/>
      <c r="H10" s="2"/>
      <c r="I10" s="13"/>
      <c r="J10" s="4">
        <v>0</v>
      </c>
      <c r="K10" s="4">
        <v>0</v>
      </c>
      <c r="L10" s="12">
        <f t="shared" si="0"/>
        <v>2132</v>
      </c>
      <c r="M10" s="24">
        <f t="shared" si="1"/>
        <v>2.2230100306550163E-2</v>
      </c>
    </row>
    <row r="11" spans="1:13">
      <c r="A11" s="2" t="s">
        <v>5</v>
      </c>
      <c r="B11" s="17" t="s">
        <v>11</v>
      </c>
      <c r="C11" s="20" t="s">
        <v>26</v>
      </c>
      <c r="D11" s="4">
        <v>271</v>
      </c>
      <c r="E11" s="4">
        <v>6504</v>
      </c>
      <c r="F11" s="22"/>
      <c r="G11" s="4"/>
      <c r="H11" s="4">
        <v>102</v>
      </c>
      <c r="I11" s="13">
        <v>1020</v>
      </c>
      <c r="J11" s="4">
        <v>23</v>
      </c>
      <c r="K11" s="4">
        <v>0</v>
      </c>
      <c r="L11" s="12">
        <f t="shared" si="0"/>
        <v>7524</v>
      </c>
      <c r="M11" s="24">
        <f>L11/SUM($L$11:$L$17)</f>
        <v>7.9965140130299386E-2</v>
      </c>
    </row>
    <row r="12" spans="1:13">
      <c r="A12" s="2" t="s">
        <v>5</v>
      </c>
      <c r="B12" s="17" t="s">
        <v>11</v>
      </c>
      <c r="C12" s="20" t="s">
        <v>25</v>
      </c>
      <c r="D12" s="4">
        <v>211</v>
      </c>
      <c r="E12" s="4">
        <v>3587</v>
      </c>
      <c r="F12" s="22"/>
      <c r="G12" s="4"/>
      <c r="H12" s="4">
        <v>399</v>
      </c>
      <c r="I12" s="13">
        <v>835</v>
      </c>
      <c r="J12" s="4">
        <v>4</v>
      </c>
      <c r="K12" s="4">
        <v>310</v>
      </c>
      <c r="L12" s="12">
        <f t="shared" si="0"/>
        <v>4732</v>
      </c>
      <c r="M12" s="24">
        <f t="shared" ref="M12:M17" si="2">L12/SUM($L$11:$L$17)</f>
        <v>5.0291738848561501E-2</v>
      </c>
    </row>
    <row r="13" spans="1:13">
      <c r="A13" s="2" t="s">
        <v>5</v>
      </c>
      <c r="B13" s="17" t="s">
        <v>11</v>
      </c>
      <c r="C13" s="20" t="s">
        <v>43</v>
      </c>
      <c r="D13" s="4">
        <v>196</v>
      </c>
      <c r="E13" s="4">
        <v>5096</v>
      </c>
      <c r="F13" s="22"/>
      <c r="G13" s="4"/>
      <c r="H13" s="4">
        <v>0</v>
      </c>
      <c r="I13" s="13">
        <v>1920</v>
      </c>
      <c r="J13" s="4">
        <v>0</v>
      </c>
      <c r="K13" s="4">
        <v>0</v>
      </c>
      <c r="L13" s="12">
        <f t="shared" si="0"/>
        <v>7016</v>
      </c>
      <c r="M13" s="24">
        <f t="shared" si="2"/>
        <v>7.4566111530327023E-2</v>
      </c>
    </row>
    <row r="14" spans="1:13">
      <c r="A14" s="2" t="s">
        <v>5</v>
      </c>
      <c r="B14" s="17" t="s">
        <v>11</v>
      </c>
      <c r="C14" s="20" t="s">
        <v>44</v>
      </c>
      <c r="D14" s="4">
        <v>126</v>
      </c>
      <c r="E14" s="4">
        <v>2268</v>
      </c>
      <c r="F14" s="22"/>
      <c r="G14" s="4"/>
      <c r="H14" s="4">
        <v>3</v>
      </c>
      <c r="I14" s="13">
        <v>15</v>
      </c>
      <c r="J14" s="4">
        <v>53</v>
      </c>
      <c r="K14" s="4">
        <v>265</v>
      </c>
      <c r="L14" s="12">
        <f t="shared" si="0"/>
        <v>2548</v>
      </c>
      <c r="M14" s="24">
        <f t="shared" si="2"/>
        <v>2.7080167072302347E-2</v>
      </c>
    </row>
    <row r="15" spans="1:13">
      <c r="A15" s="2" t="s">
        <v>5</v>
      </c>
      <c r="B15" s="17" t="s">
        <v>11</v>
      </c>
      <c r="C15" s="21" t="s">
        <v>45</v>
      </c>
      <c r="D15" s="4">
        <v>1795</v>
      </c>
      <c r="E15" s="4">
        <v>30515</v>
      </c>
      <c r="F15" s="23">
        <v>51</v>
      </c>
      <c r="G15" s="4">
        <v>510</v>
      </c>
      <c r="H15" s="4">
        <v>1351</v>
      </c>
      <c r="I15" s="13">
        <v>-5240</v>
      </c>
      <c r="J15" s="4">
        <v>12</v>
      </c>
      <c r="K15" s="4">
        <v>160</v>
      </c>
      <c r="L15" s="12">
        <f t="shared" si="0"/>
        <v>25945</v>
      </c>
      <c r="M15" s="24">
        <f t="shared" si="2"/>
        <v>0.2757436949336281</v>
      </c>
    </row>
    <row r="16" spans="1:13">
      <c r="A16" s="2" t="s">
        <v>4</v>
      </c>
      <c r="B16" s="17" t="s">
        <v>11</v>
      </c>
      <c r="C16" s="21" t="s">
        <v>46</v>
      </c>
      <c r="D16" s="4">
        <v>1406</v>
      </c>
      <c r="E16" s="4">
        <v>37986</v>
      </c>
      <c r="F16" s="22"/>
      <c r="G16" s="4"/>
      <c r="H16" s="4">
        <v>86</v>
      </c>
      <c r="I16" s="13">
        <v>3230</v>
      </c>
      <c r="J16" s="4">
        <v>72</v>
      </c>
      <c r="K16" s="4">
        <v>2835</v>
      </c>
      <c r="L16" s="12">
        <f t="shared" si="0"/>
        <v>44051</v>
      </c>
      <c r="M16" s="24">
        <f t="shared" si="2"/>
        <v>0.46817442688461169</v>
      </c>
    </row>
    <row r="17" spans="1:13">
      <c r="A17" s="2" t="s">
        <v>4</v>
      </c>
      <c r="B17" s="17" t="s">
        <v>11</v>
      </c>
      <c r="C17" s="21" t="s">
        <v>47</v>
      </c>
      <c r="D17" s="4">
        <v>175</v>
      </c>
      <c r="E17" s="4">
        <v>2275</v>
      </c>
      <c r="F17" s="22"/>
      <c r="G17" s="4"/>
      <c r="H17" s="4"/>
      <c r="I17" s="4"/>
      <c r="J17" s="4">
        <v>0</v>
      </c>
      <c r="K17" s="4">
        <v>0</v>
      </c>
      <c r="L17" s="12">
        <f t="shared" si="0"/>
        <v>2275</v>
      </c>
      <c r="M17" s="24">
        <f t="shared" si="2"/>
        <v>2.4178720600269953E-2</v>
      </c>
    </row>
    <row r="18" spans="1:13">
      <c r="A18" s="2" t="s">
        <v>4</v>
      </c>
      <c r="B18" s="17" t="s">
        <v>10</v>
      </c>
      <c r="C18" s="18" t="s">
        <v>26</v>
      </c>
      <c r="D18" s="2"/>
      <c r="E18" s="2"/>
      <c r="F18" s="2"/>
      <c r="G18" s="4"/>
      <c r="H18" s="4"/>
      <c r="I18" s="4"/>
      <c r="J18" s="4"/>
      <c r="K18" s="4"/>
      <c r="L18" s="25">
        <v>24403.616000000002</v>
      </c>
      <c r="M18" s="28">
        <v>0.11543935726229619</v>
      </c>
    </row>
    <row r="19" spans="1:13">
      <c r="A19" s="2" t="s">
        <v>4</v>
      </c>
      <c r="B19" s="17" t="s">
        <v>10</v>
      </c>
      <c r="C19" s="18" t="s">
        <v>25</v>
      </c>
      <c r="D19" s="2"/>
      <c r="E19" s="2"/>
      <c r="F19" s="2"/>
      <c r="G19" s="4"/>
      <c r="H19" s="4"/>
      <c r="I19" s="4"/>
      <c r="J19" s="4"/>
      <c r="K19" s="4"/>
      <c r="L19" s="25">
        <v>24674.48</v>
      </c>
      <c r="M19" s="28">
        <v>0.11672065779027919</v>
      </c>
    </row>
    <row r="20" spans="1:13">
      <c r="A20" s="2" t="s">
        <v>4</v>
      </c>
      <c r="B20" s="17" t="s">
        <v>10</v>
      </c>
      <c r="C20" s="18" t="s">
        <v>43</v>
      </c>
      <c r="D20" s="2"/>
      <c r="E20" s="2"/>
      <c r="F20" s="2"/>
      <c r="G20" s="4"/>
      <c r="H20" s="4"/>
      <c r="I20" s="4"/>
      <c r="J20" s="4"/>
      <c r="K20" s="4"/>
      <c r="L20" s="25">
        <v>40112.256000000001</v>
      </c>
      <c r="M20" s="28">
        <v>0.18974782470682558</v>
      </c>
    </row>
    <row r="21" spans="1:13">
      <c r="A21" s="2" t="s">
        <v>4</v>
      </c>
      <c r="B21" s="17" t="s">
        <v>10</v>
      </c>
      <c r="C21" s="18" t="s">
        <v>44</v>
      </c>
      <c r="D21" s="2"/>
      <c r="E21" s="2"/>
      <c r="F21" s="2"/>
      <c r="G21" s="4"/>
      <c r="H21" s="4"/>
      <c r="I21" s="4"/>
      <c r="J21" s="4"/>
      <c r="K21" s="4"/>
      <c r="L21" s="25">
        <v>25340.655999999999</v>
      </c>
      <c r="M21" s="28">
        <v>0.11987195017512771</v>
      </c>
    </row>
    <row r="22" spans="1:13">
      <c r="A22" s="2" t="s">
        <v>4</v>
      </c>
      <c r="B22" s="17" t="s">
        <v>10</v>
      </c>
      <c r="C22" s="19" t="s">
        <v>45</v>
      </c>
      <c r="D22" s="2"/>
      <c r="E22" s="2"/>
      <c r="F22" s="2"/>
      <c r="G22" s="4"/>
      <c r="H22" s="4"/>
      <c r="I22" s="4"/>
      <c r="J22" s="4"/>
      <c r="K22" s="4"/>
      <c r="L22" s="25">
        <v>10922.304</v>
      </c>
      <c r="M22" s="28">
        <v>5.1667087106411061E-2</v>
      </c>
    </row>
    <row r="23" spans="1:13">
      <c r="A23" s="2" t="s">
        <v>4</v>
      </c>
      <c r="B23" s="17" t="s">
        <v>10</v>
      </c>
      <c r="C23" s="19" t="s">
        <v>46</v>
      </c>
      <c r="D23" s="2"/>
      <c r="E23" s="2"/>
      <c r="F23" s="2"/>
      <c r="G23" s="4"/>
      <c r="H23" s="4"/>
      <c r="I23" s="4"/>
      <c r="J23" s="4"/>
      <c r="K23" s="4"/>
      <c r="L23" s="25">
        <v>62948.288</v>
      </c>
      <c r="M23" s="28">
        <v>0.297771851002815</v>
      </c>
    </row>
    <row r="24" spans="1:13">
      <c r="A24" s="2" t="s">
        <v>4</v>
      </c>
      <c r="B24" s="17" t="s">
        <v>10</v>
      </c>
      <c r="C24" s="19" t="s">
        <v>47</v>
      </c>
      <c r="D24" s="2"/>
      <c r="E24" s="2"/>
      <c r="F24" s="2"/>
      <c r="G24" s="4"/>
      <c r="H24" s="4"/>
      <c r="I24" s="4"/>
      <c r="J24" s="4"/>
      <c r="K24" s="4"/>
      <c r="L24" s="25">
        <v>22996.112000000001</v>
      </c>
      <c r="M24" s="28">
        <v>0.10878127195624519</v>
      </c>
    </row>
    <row r="25" spans="1:13">
      <c r="A25" s="2" t="s">
        <v>4</v>
      </c>
      <c r="B25" s="17" t="s">
        <v>11</v>
      </c>
      <c r="C25" s="18" t="s">
        <v>26</v>
      </c>
      <c r="D25" s="2"/>
      <c r="E25" s="2"/>
      <c r="F25" s="2"/>
      <c r="G25" s="4"/>
      <c r="H25" s="4"/>
      <c r="I25" s="4"/>
      <c r="J25" s="4"/>
      <c r="K25" s="4"/>
      <c r="L25" s="26">
        <v>12524</v>
      </c>
      <c r="M25" s="28">
        <v>7.1196307160561204E-2</v>
      </c>
    </row>
    <row r="26" spans="1:13">
      <c r="A26" s="2" t="s">
        <v>4</v>
      </c>
      <c r="B26" s="17" t="s">
        <v>11</v>
      </c>
      <c r="C26" s="18" t="s">
        <v>25</v>
      </c>
      <c r="D26" s="2"/>
      <c r="E26" s="2"/>
      <c r="F26" s="2"/>
      <c r="G26" s="4"/>
      <c r="H26" s="4"/>
      <c r="I26" s="4"/>
      <c r="J26" s="4"/>
      <c r="K26" s="4"/>
      <c r="L26" s="26">
        <v>12732</v>
      </c>
      <c r="M26" s="28">
        <v>7.2378743434067805E-2</v>
      </c>
    </row>
    <row r="27" spans="1:13">
      <c r="A27" s="2" t="s">
        <v>4</v>
      </c>
      <c r="B27" s="17" t="s">
        <v>11</v>
      </c>
      <c r="C27" s="18" t="s">
        <v>43</v>
      </c>
      <c r="D27" s="2"/>
      <c r="E27" s="2"/>
      <c r="F27" s="2"/>
      <c r="G27" s="4"/>
      <c r="H27" s="4"/>
      <c r="I27" s="4"/>
      <c r="J27" s="4"/>
      <c r="K27" s="4"/>
      <c r="L27" s="26">
        <v>13016</v>
      </c>
      <c r="M27" s="28">
        <v>7.3993223730586449E-2</v>
      </c>
    </row>
    <row r="28" spans="1:13">
      <c r="A28" s="2" t="s">
        <v>4</v>
      </c>
      <c r="B28" s="17" t="s">
        <v>11</v>
      </c>
      <c r="C28" s="18" t="s">
        <v>44</v>
      </c>
      <c r="D28" s="2"/>
      <c r="E28" s="2"/>
      <c r="F28" s="2"/>
      <c r="G28" s="4"/>
      <c r="H28" s="4"/>
      <c r="I28" s="4"/>
      <c r="J28" s="4"/>
      <c r="K28" s="4"/>
      <c r="L28" s="26">
        <v>10548</v>
      </c>
      <c r="M28" s="28">
        <v>5.996316256224845E-2</v>
      </c>
    </row>
    <row r="29" spans="1:13">
      <c r="A29" s="2" t="s">
        <v>4</v>
      </c>
      <c r="B29" s="17" t="s">
        <v>11</v>
      </c>
      <c r="C29" s="19" t="s">
        <v>45</v>
      </c>
      <c r="D29" s="2"/>
      <c r="E29" s="2"/>
      <c r="F29" s="2"/>
      <c r="G29" s="4"/>
      <c r="H29" s="4"/>
      <c r="I29" s="4"/>
      <c r="J29" s="4"/>
      <c r="K29" s="4"/>
      <c r="L29" s="26">
        <v>50962</v>
      </c>
      <c r="M29" s="28">
        <v>0.28970825658867133</v>
      </c>
    </row>
    <row r="30" spans="1:13">
      <c r="A30" s="2" t="s">
        <v>4</v>
      </c>
      <c r="B30" s="17" t="s">
        <v>11</v>
      </c>
      <c r="C30" s="19" t="s">
        <v>46</v>
      </c>
      <c r="D30" s="2"/>
      <c r="E30" s="2"/>
      <c r="F30" s="2"/>
      <c r="G30" s="4"/>
      <c r="H30" s="4"/>
      <c r="I30" s="4"/>
      <c r="J30" s="4"/>
      <c r="K30" s="4"/>
      <c r="L30" s="26">
        <v>71051</v>
      </c>
      <c r="M30" s="28">
        <v>0.40390999840825886</v>
      </c>
    </row>
    <row r="31" spans="1:13">
      <c r="A31" s="2" t="s">
        <v>4</v>
      </c>
      <c r="B31" s="17" t="s">
        <v>11</v>
      </c>
      <c r="C31" s="19" t="s">
        <v>47</v>
      </c>
      <c r="D31" s="2"/>
      <c r="E31" s="2"/>
      <c r="F31" s="2"/>
      <c r="G31" s="4"/>
      <c r="H31" s="4"/>
      <c r="I31" s="4"/>
      <c r="J31" s="4"/>
      <c r="K31" s="4"/>
      <c r="L31" s="26">
        <v>5075</v>
      </c>
      <c r="M31" s="28">
        <v>2.8850308115605884E-2</v>
      </c>
    </row>
    <row r="32" spans="1:13">
      <c r="A32" s="2" t="s">
        <v>6</v>
      </c>
      <c r="B32" s="17" t="s">
        <v>10</v>
      </c>
      <c r="C32" s="18" t="s">
        <v>26</v>
      </c>
      <c r="D32" s="2"/>
      <c r="E32" s="2"/>
      <c r="F32" s="2"/>
      <c r="G32" s="4"/>
      <c r="H32" s="4"/>
      <c r="I32" s="4"/>
      <c r="J32" s="4"/>
      <c r="K32" s="4"/>
      <c r="L32" s="27">
        <v>17403.616000000002</v>
      </c>
      <c r="M32" s="28">
        <v>0.11727684858106169</v>
      </c>
    </row>
    <row r="33" spans="1:13">
      <c r="A33" s="2" t="s">
        <v>6</v>
      </c>
      <c r="B33" s="17" t="s">
        <v>10</v>
      </c>
      <c r="C33" s="18" t="s">
        <v>25</v>
      </c>
      <c r="D33" s="2"/>
      <c r="E33" s="2"/>
      <c r="F33" s="2"/>
      <c r="G33" s="4"/>
      <c r="H33" s="4"/>
      <c r="I33" s="4"/>
      <c r="J33" s="4"/>
      <c r="K33" s="4"/>
      <c r="L33" s="27">
        <v>10674.48</v>
      </c>
      <c r="M33" s="28">
        <v>7.1931567246804995E-2</v>
      </c>
    </row>
    <row r="34" spans="1:13">
      <c r="A34" s="2" t="s">
        <v>6</v>
      </c>
      <c r="B34" s="17" t="s">
        <v>10</v>
      </c>
      <c r="C34" s="18" t="s">
        <v>43</v>
      </c>
      <c r="D34" s="2"/>
      <c r="E34" s="2"/>
      <c r="F34" s="2"/>
      <c r="G34" s="4"/>
      <c r="H34" s="4"/>
      <c r="I34" s="4"/>
      <c r="J34" s="4"/>
      <c r="K34" s="4"/>
      <c r="L34" s="27">
        <v>20112.256000000001</v>
      </c>
      <c r="M34" s="28">
        <v>0.13552942110050861</v>
      </c>
    </row>
    <row r="35" spans="1:13">
      <c r="A35" s="2" t="s">
        <v>6</v>
      </c>
      <c r="B35" s="17" t="s">
        <v>10</v>
      </c>
      <c r="C35" s="18" t="s">
        <v>44</v>
      </c>
      <c r="D35" s="2"/>
      <c r="E35" s="2"/>
      <c r="F35" s="2"/>
      <c r="G35" s="4"/>
      <c r="H35" s="4"/>
      <c r="I35" s="4"/>
      <c r="J35" s="4"/>
      <c r="K35" s="4"/>
      <c r="L35" s="27">
        <v>22340.655999999999</v>
      </c>
      <c r="M35" s="28">
        <v>0.15054582512700734</v>
      </c>
    </row>
    <row r="36" spans="1:13">
      <c r="A36" s="2" t="s">
        <v>6</v>
      </c>
      <c r="B36" s="17" t="s">
        <v>10</v>
      </c>
      <c r="C36" s="19" t="s">
        <v>45</v>
      </c>
      <c r="D36" s="2"/>
      <c r="E36" s="2"/>
      <c r="F36" s="2"/>
      <c r="G36" s="4"/>
      <c r="H36" s="4"/>
      <c r="I36" s="4"/>
      <c r="J36" s="4"/>
      <c r="K36" s="4"/>
      <c r="L36" s="27">
        <v>14922.304</v>
      </c>
      <c r="M36" s="28">
        <v>0.10055615951814675</v>
      </c>
    </row>
    <row r="37" spans="1:13">
      <c r="A37" s="2" t="s">
        <v>6</v>
      </c>
      <c r="B37" s="17" t="s">
        <v>10</v>
      </c>
      <c r="C37" s="19" t="s">
        <v>46</v>
      </c>
      <c r="D37" s="2"/>
      <c r="E37" s="2"/>
      <c r="F37" s="2"/>
      <c r="G37" s="4"/>
      <c r="H37" s="4"/>
      <c r="I37" s="4"/>
      <c r="J37" s="4"/>
      <c r="K37" s="4"/>
      <c r="L37" s="27">
        <v>42948.288</v>
      </c>
      <c r="M37" s="28">
        <v>0.28941341090218425</v>
      </c>
    </row>
    <row r="38" spans="1:13">
      <c r="A38" s="2" t="s">
        <v>6</v>
      </c>
      <c r="B38" s="17" t="s">
        <v>10</v>
      </c>
      <c r="C38" s="19" t="s">
        <v>47</v>
      </c>
      <c r="D38" s="2"/>
      <c r="E38" s="2"/>
      <c r="F38" s="2"/>
      <c r="G38" s="4"/>
      <c r="H38" s="4"/>
      <c r="I38" s="4"/>
      <c r="J38" s="4"/>
      <c r="K38" s="4"/>
      <c r="L38" s="27">
        <v>19996.112000000001</v>
      </c>
      <c r="M38" s="28">
        <v>0.13474676752428635</v>
      </c>
    </row>
    <row r="39" spans="1:13">
      <c r="A39" s="14"/>
      <c r="B39" s="14"/>
      <c r="C39" s="14"/>
      <c r="D39" s="14"/>
      <c r="E39" s="14"/>
      <c r="F39" s="14"/>
    </row>
    <row r="40" spans="1:13">
      <c r="A40" s="14"/>
      <c r="B40" s="14"/>
      <c r="C40" s="14"/>
      <c r="D40" s="14"/>
      <c r="E40" s="14"/>
      <c r="F40" s="14"/>
    </row>
    <row r="41" spans="1:13">
      <c r="A41" s="14"/>
      <c r="B41" s="14"/>
      <c r="C41" s="14"/>
      <c r="D41" s="14"/>
      <c r="E41" s="14"/>
      <c r="F41" s="14"/>
    </row>
    <row r="42" spans="1:13">
      <c r="A42" s="14"/>
      <c r="B42" s="14"/>
      <c r="C42" s="14"/>
      <c r="D42" s="14"/>
      <c r="E42" s="14"/>
      <c r="F42" s="14"/>
    </row>
    <row r="43" spans="1:13">
      <c r="A43" s="14"/>
      <c r="B43" s="14"/>
      <c r="C43" s="14"/>
      <c r="D43" s="14"/>
      <c r="E43" s="14"/>
      <c r="F43" s="14"/>
    </row>
    <row r="44" spans="1:13">
      <c r="A44" s="14"/>
      <c r="B44" s="14"/>
      <c r="C44" s="14"/>
      <c r="D44" s="14"/>
      <c r="E44" s="14"/>
      <c r="F44" s="14"/>
    </row>
    <row r="45" spans="1:13">
      <c r="A45" s="14"/>
      <c r="B45" s="14"/>
      <c r="C45" s="14"/>
      <c r="D45" s="14"/>
      <c r="E45" s="14"/>
      <c r="F45" s="14"/>
    </row>
    <row r="46" spans="1:13">
      <c r="A46" s="14"/>
      <c r="B46" s="14"/>
      <c r="C46" s="14"/>
      <c r="D46" s="14"/>
      <c r="E46" s="14"/>
      <c r="F46" s="14"/>
    </row>
    <row r="47" spans="1:13">
      <c r="A47" s="14"/>
      <c r="B47" s="14"/>
      <c r="C47" s="14"/>
      <c r="D47" s="14"/>
      <c r="E47" s="14"/>
      <c r="F47" s="14"/>
    </row>
    <row r="48" spans="1:13">
      <c r="A48" s="14"/>
      <c r="B48" s="14"/>
      <c r="C48" s="14"/>
      <c r="D48" s="14"/>
      <c r="E48" s="14"/>
      <c r="F48" s="14"/>
    </row>
    <row r="49" spans="1:6">
      <c r="A49" s="14"/>
      <c r="B49" s="14"/>
      <c r="C49" s="14"/>
      <c r="D49" s="14"/>
      <c r="E49" s="14"/>
      <c r="F49" s="14"/>
    </row>
    <row r="50" spans="1:6">
      <c r="A50" s="14"/>
      <c r="B50" s="14"/>
      <c r="C50" s="14"/>
      <c r="D50" s="14"/>
      <c r="E50" s="14"/>
      <c r="F50" s="14"/>
    </row>
    <row r="51" spans="1:6">
      <c r="A51" s="14"/>
      <c r="B51" s="14"/>
      <c r="C51" s="14"/>
      <c r="D51" s="14"/>
      <c r="E51" s="14"/>
      <c r="F51" s="14"/>
    </row>
  </sheetData>
  <mergeCells count="10">
    <mergeCell ref="J2:K2"/>
    <mergeCell ref="L2:L3"/>
    <mergeCell ref="M2:M3"/>
    <mergeCell ref="A2:A3"/>
    <mergeCell ref="B2:B3"/>
    <mergeCell ref="C2:C3"/>
    <mergeCell ref="D1:E1"/>
    <mergeCell ref="D2:E2"/>
    <mergeCell ref="F2:G2"/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FD770-CAB5-4A21-8236-B2AB3A09A7F3}">
  <dimension ref="A1:P97"/>
  <sheetViews>
    <sheetView workbookViewId="0">
      <selection activeCell="G14" sqref="G14"/>
    </sheetView>
  </sheetViews>
  <sheetFormatPr defaultRowHeight="15"/>
  <cols>
    <col min="3" max="3" width="15.140625" customWidth="1"/>
  </cols>
  <sheetData>
    <row r="1" spans="1:16">
      <c r="A1" s="38" t="s">
        <v>61</v>
      </c>
      <c r="B1" s="41" t="s">
        <v>8</v>
      </c>
      <c r="C1" s="38" t="s">
        <v>62</v>
      </c>
      <c r="D1" s="44" t="s">
        <v>49</v>
      </c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spans="1:16">
      <c r="A2" s="38"/>
      <c r="B2" s="42"/>
      <c r="C2" s="38"/>
      <c r="D2" s="29" t="s">
        <v>52</v>
      </c>
      <c r="E2" s="30" t="s">
        <v>53</v>
      </c>
      <c r="F2" s="30" t="s">
        <v>63</v>
      </c>
      <c r="G2" s="30" t="s">
        <v>64</v>
      </c>
      <c r="H2" s="30" t="s">
        <v>160</v>
      </c>
      <c r="I2" s="30" t="s">
        <v>161</v>
      </c>
      <c r="J2" s="30" t="s">
        <v>162</v>
      </c>
      <c r="K2" s="30" t="s">
        <v>163</v>
      </c>
      <c r="L2" s="30" t="s">
        <v>164</v>
      </c>
      <c r="M2" s="30" t="s">
        <v>165</v>
      </c>
      <c r="N2" s="30" t="s">
        <v>166</v>
      </c>
      <c r="O2" s="30" t="s">
        <v>167</v>
      </c>
      <c r="P2" s="9" t="s">
        <v>3</v>
      </c>
    </row>
    <row r="3" spans="1:16">
      <c r="A3" s="31">
        <v>1</v>
      </c>
      <c r="B3" s="31" t="s">
        <v>5</v>
      </c>
      <c r="C3" s="31" t="s">
        <v>65</v>
      </c>
      <c r="D3" s="31">
        <v>512</v>
      </c>
      <c r="E3" s="31">
        <v>586</v>
      </c>
      <c r="F3" s="31">
        <v>611</v>
      </c>
      <c r="G3" s="31">
        <v>716</v>
      </c>
      <c r="H3" s="4"/>
      <c r="I3" s="4"/>
      <c r="J3" s="4"/>
      <c r="K3" s="4"/>
      <c r="L3" s="4"/>
      <c r="M3" s="4"/>
      <c r="N3" s="4"/>
      <c r="O3" s="4"/>
      <c r="P3" s="9">
        <v>2427</v>
      </c>
    </row>
    <row r="4" spans="1:16">
      <c r="A4" s="31">
        <v>2</v>
      </c>
      <c r="B4" s="31" t="s">
        <v>5</v>
      </c>
      <c r="C4" s="31" t="s">
        <v>66</v>
      </c>
      <c r="D4" s="31">
        <v>557</v>
      </c>
      <c r="E4" s="31">
        <v>529</v>
      </c>
      <c r="F4" s="31">
        <v>562</v>
      </c>
      <c r="G4" s="31">
        <v>690</v>
      </c>
      <c r="H4" s="4"/>
      <c r="I4" s="4"/>
      <c r="J4" s="4"/>
      <c r="K4" s="4"/>
      <c r="L4" s="4"/>
      <c r="M4" s="4"/>
      <c r="N4" s="4"/>
      <c r="O4" s="4"/>
      <c r="P4" s="9">
        <v>2396</v>
      </c>
    </row>
    <row r="5" spans="1:16">
      <c r="A5" s="31">
        <v>3</v>
      </c>
      <c r="B5" s="31" t="s">
        <v>5</v>
      </c>
      <c r="C5" s="31" t="s">
        <v>67</v>
      </c>
      <c r="D5" s="31">
        <v>183</v>
      </c>
      <c r="E5" s="31">
        <v>163</v>
      </c>
      <c r="F5" s="31">
        <v>223</v>
      </c>
      <c r="G5" s="31">
        <v>185</v>
      </c>
      <c r="H5" s="4"/>
      <c r="I5" s="4"/>
      <c r="J5" s="4"/>
      <c r="K5" s="4"/>
      <c r="L5" s="4"/>
      <c r="M5" s="4"/>
      <c r="N5" s="4"/>
      <c r="O5" s="4"/>
      <c r="P5" s="9">
        <v>767</v>
      </c>
    </row>
    <row r="6" spans="1:16">
      <c r="A6" s="31">
        <v>4</v>
      </c>
      <c r="B6" s="31" t="s">
        <v>5</v>
      </c>
      <c r="C6" s="31" t="s">
        <v>68</v>
      </c>
      <c r="D6" s="31">
        <v>155</v>
      </c>
      <c r="E6" s="31">
        <v>144</v>
      </c>
      <c r="F6" s="31">
        <v>161</v>
      </c>
      <c r="G6" s="31">
        <v>174</v>
      </c>
      <c r="H6" s="4"/>
      <c r="I6" s="4"/>
      <c r="J6" s="4"/>
      <c r="K6" s="4"/>
      <c r="L6" s="4"/>
      <c r="M6" s="4"/>
      <c r="N6" s="4"/>
      <c r="O6" s="4"/>
      <c r="P6" s="9">
        <v>644</v>
      </c>
    </row>
    <row r="7" spans="1:16">
      <c r="A7" s="31">
        <v>5</v>
      </c>
      <c r="B7" s="31" t="s">
        <v>5</v>
      </c>
      <c r="C7" s="31" t="s">
        <v>69</v>
      </c>
      <c r="D7" s="31">
        <v>148</v>
      </c>
      <c r="E7" s="31">
        <v>138</v>
      </c>
      <c r="F7" s="31">
        <v>171</v>
      </c>
      <c r="G7" s="31">
        <v>156</v>
      </c>
      <c r="H7" s="4"/>
      <c r="I7" s="4"/>
      <c r="J7" s="4"/>
      <c r="K7" s="4"/>
      <c r="L7" s="4"/>
      <c r="M7" s="4"/>
      <c r="N7" s="4"/>
      <c r="O7" s="4"/>
      <c r="P7" s="9">
        <v>631</v>
      </c>
    </row>
    <row r="8" spans="1:16">
      <c r="A8" s="31">
        <v>6</v>
      </c>
      <c r="B8" s="31" t="s">
        <v>5</v>
      </c>
      <c r="C8" s="31" t="s">
        <v>70</v>
      </c>
      <c r="D8" s="31">
        <v>94</v>
      </c>
      <c r="E8" s="31">
        <v>92</v>
      </c>
      <c r="F8" s="31">
        <v>98</v>
      </c>
      <c r="G8" s="31">
        <v>129</v>
      </c>
      <c r="H8" s="4"/>
      <c r="I8" s="4"/>
      <c r="J8" s="4"/>
      <c r="K8" s="4"/>
      <c r="L8" s="4"/>
      <c r="M8" s="4"/>
      <c r="N8" s="4"/>
      <c r="O8" s="4"/>
      <c r="P8" s="9">
        <v>414</v>
      </c>
    </row>
    <row r="9" spans="1:16">
      <c r="A9" s="31">
        <v>7</v>
      </c>
      <c r="B9" s="31" t="s">
        <v>5</v>
      </c>
      <c r="C9" s="31" t="s">
        <v>71</v>
      </c>
      <c r="D9" s="31">
        <v>83</v>
      </c>
      <c r="E9" s="31">
        <v>89</v>
      </c>
      <c r="F9" s="31">
        <v>92</v>
      </c>
      <c r="G9" s="31">
        <v>100</v>
      </c>
      <c r="H9" s="4"/>
      <c r="I9" s="4"/>
      <c r="J9" s="4"/>
      <c r="K9" s="4"/>
      <c r="L9" s="4"/>
      <c r="M9" s="4"/>
      <c r="N9" s="4"/>
      <c r="O9" s="4"/>
      <c r="P9" s="9">
        <v>364</v>
      </c>
    </row>
    <row r="10" spans="1:16">
      <c r="A10" s="31">
        <v>8</v>
      </c>
      <c r="B10" s="31" t="s">
        <v>5</v>
      </c>
      <c r="C10" s="31" t="s">
        <v>72</v>
      </c>
      <c r="D10" s="31">
        <v>87</v>
      </c>
      <c r="E10" s="31">
        <v>85</v>
      </c>
      <c r="F10" s="31">
        <v>85</v>
      </c>
      <c r="G10" s="31">
        <v>84</v>
      </c>
      <c r="H10" s="4"/>
      <c r="I10" s="4"/>
      <c r="J10" s="4"/>
      <c r="K10" s="4"/>
      <c r="L10" s="4"/>
      <c r="M10" s="4"/>
      <c r="N10" s="4"/>
      <c r="O10" s="4"/>
      <c r="P10" s="9">
        <v>341</v>
      </c>
    </row>
    <row r="11" spans="1:16">
      <c r="A11" s="31">
        <v>9</v>
      </c>
      <c r="B11" s="31" t="s">
        <v>5</v>
      </c>
      <c r="C11" s="31" t="s">
        <v>73</v>
      </c>
      <c r="D11" s="31">
        <v>56</v>
      </c>
      <c r="E11" s="31">
        <v>70</v>
      </c>
      <c r="F11" s="31">
        <v>68</v>
      </c>
      <c r="G11" s="31">
        <v>94</v>
      </c>
      <c r="H11" s="4"/>
      <c r="I11" s="4"/>
      <c r="J11" s="4"/>
      <c r="K11" s="4"/>
      <c r="L11" s="4"/>
      <c r="M11" s="4"/>
      <c r="N11" s="4"/>
      <c r="O11" s="4"/>
      <c r="P11" s="9">
        <v>291</v>
      </c>
    </row>
    <row r="12" spans="1:16">
      <c r="A12" s="31">
        <v>10</v>
      </c>
      <c r="B12" s="31" t="s">
        <v>5</v>
      </c>
      <c r="C12" s="31" t="s">
        <v>74</v>
      </c>
      <c r="D12" s="31">
        <v>60</v>
      </c>
      <c r="E12" s="31">
        <v>36</v>
      </c>
      <c r="F12" s="31">
        <v>53</v>
      </c>
      <c r="G12" s="31">
        <v>48</v>
      </c>
      <c r="H12" s="4"/>
      <c r="I12" s="4"/>
      <c r="J12" s="4"/>
      <c r="K12" s="4"/>
      <c r="L12" s="4"/>
      <c r="M12" s="4"/>
      <c r="N12" s="4"/>
      <c r="O12" s="4"/>
      <c r="P12" s="9">
        <v>199</v>
      </c>
    </row>
    <row r="13" spans="1:16">
      <c r="A13" s="31">
        <v>11</v>
      </c>
      <c r="B13" s="31" t="s">
        <v>5</v>
      </c>
      <c r="C13" s="31" t="s">
        <v>75</v>
      </c>
      <c r="D13" s="31">
        <v>60</v>
      </c>
      <c r="E13" s="31">
        <v>36</v>
      </c>
      <c r="F13" s="31">
        <v>54</v>
      </c>
      <c r="G13" s="31">
        <v>32</v>
      </c>
      <c r="H13" s="4"/>
      <c r="I13" s="4"/>
      <c r="J13" s="4"/>
      <c r="K13" s="4"/>
      <c r="L13" s="4"/>
      <c r="M13" s="4"/>
      <c r="N13" s="4"/>
      <c r="O13" s="4"/>
      <c r="P13" s="9">
        <v>182</v>
      </c>
    </row>
    <row r="14" spans="1:16">
      <c r="A14" s="31">
        <v>12</v>
      </c>
      <c r="B14" s="31" t="s">
        <v>5</v>
      </c>
      <c r="C14" s="31" t="s">
        <v>76</v>
      </c>
      <c r="D14" s="31">
        <v>48</v>
      </c>
      <c r="E14" s="31">
        <v>34</v>
      </c>
      <c r="F14" s="31">
        <v>44</v>
      </c>
      <c r="G14" s="31">
        <v>38</v>
      </c>
      <c r="H14" s="4"/>
      <c r="I14" s="4"/>
      <c r="J14" s="4"/>
      <c r="K14" s="4"/>
      <c r="L14" s="4"/>
      <c r="M14" s="4"/>
      <c r="N14" s="4"/>
      <c r="O14" s="4"/>
      <c r="P14" s="9">
        <v>167</v>
      </c>
    </row>
    <row r="15" spans="1:16">
      <c r="A15" s="31">
        <v>13</v>
      </c>
      <c r="B15" s="31" t="s">
        <v>5</v>
      </c>
      <c r="C15" s="31" t="s">
        <v>77</v>
      </c>
      <c r="D15" s="31">
        <v>37</v>
      </c>
      <c r="E15" s="31">
        <v>41</v>
      </c>
      <c r="F15" s="31">
        <v>31</v>
      </c>
      <c r="G15" s="31">
        <v>28</v>
      </c>
      <c r="H15" s="4"/>
      <c r="I15" s="4"/>
      <c r="J15" s="4"/>
      <c r="K15" s="4"/>
      <c r="L15" s="4"/>
      <c r="M15" s="4"/>
      <c r="N15" s="4"/>
      <c r="O15" s="4"/>
      <c r="P15" s="9">
        <v>138</v>
      </c>
    </row>
    <row r="16" spans="1:16">
      <c r="A16" s="31">
        <v>14</v>
      </c>
      <c r="B16" s="31" t="s">
        <v>5</v>
      </c>
      <c r="C16" s="31" t="s">
        <v>78</v>
      </c>
      <c r="D16" s="31">
        <v>31</v>
      </c>
      <c r="E16" s="31">
        <v>36</v>
      </c>
      <c r="F16" s="31">
        <v>26</v>
      </c>
      <c r="G16" s="31">
        <v>30</v>
      </c>
      <c r="H16" s="4"/>
      <c r="I16" s="4"/>
      <c r="J16" s="4"/>
      <c r="K16" s="4"/>
      <c r="L16" s="4"/>
      <c r="M16" s="4"/>
      <c r="N16" s="4"/>
      <c r="O16" s="4"/>
      <c r="P16" s="9">
        <v>125</v>
      </c>
    </row>
    <row r="17" spans="1:16">
      <c r="A17" s="31">
        <v>15</v>
      </c>
      <c r="B17" s="31" t="s">
        <v>5</v>
      </c>
      <c r="C17" s="31" t="s">
        <v>79</v>
      </c>
      <c r="D17" s="31">
        <v>22</v>
      </c>
      <c r="E17" s="31">
        <v>24</v>
      </c>
      <c r="F17" s="31">
        <v>29</v>
      </c>
      <c r="G17" s="31">
        <v>26</v>
      </c>
      <c r="H17" s="4"/>
      <c r="I17" s="4"/>
      <c r="J17" s="4"/>
      <c r="K17" s="4"/>
      <c r="L17" s="4"/>
      <c r="M17" s="4"/>
      <c r="N17" s="4"/>
      <c r="O17" s="4"/>
      <c r="P17" s="9">
        <v>108</v>
      </c>
    </row>
    <row r="18" spans="1:16">
      <c r="A18" s="31">
        <v>16</v>
      </c>
      <c r="B18" s="31" t="s">
        <v>5</v>
      </c>
      <c r="C18" s="31" t="s">
        <v>80</v>
      </c>
      <c r="D18" s="31">
        <v>1</v>
      </c>
      <c r="E18" s="31">
        <v>6</v>
      </c>
      <c r="F18" s="31">
        <v>60</v>
      </c>
      <c r="G18" s="31">
        <v>39</v>
      </c>
      <c r="H18" s="4"/>
      <c r="I18" s="4"/>
      <c r="J18" s="4"/>
      <c r="K18" s="4"/>
      <c r="L18" s="4"/>
      <c r="M18" s="4"/>
      <c r="N18" s="4"/>
      <c r="O18" s="4"/>
      <c r="P18" s="9">
        <v>106</v>
      </c>
    </row>
    <row r="19" spans="1:16">
      <c r="A19" s="31">
        <v>17</v>
      </c>
      <c r="B19" s="31" t="s">
        <v>5</v>
      </c>
      <c r="C19" s="31" t="s">
        <v>81</v>
      </c>
      <c r="D19" s="31">
        <v>22</v>
      </c>
      <c r="E19" s="31">
        <v>29</v>
      </c>
      <c r="F19" s="31">
        <v>27</v>
      </c>
      <c r="G19" s="31">
        <v>28</v>
      </c>
      <c r="H19" s="4"/>
      <c r="I19" s="4"/>
      <c r="J19" s="4"/>
      <c r="K19" s="4"/>
      <c r="L19" s="4"/>
      <c r="M19" s="4"/>
      <c r="N19" s="4"/>
      <c r="O19" s="4"/>
      <c r="P19" s="9">
        <v>106</v>
      </c>
    </row>
    <row r="20" spans="1:16">
      <c r="A20" s="31">
        <v>18</v>
      </c>
      <c r="B20" s="31" t="s">
        <v>5</v>
      </c>
      <c r="C20" s="31" t="s">
        <v>82</v>
      </c>
      <c r="D20" s="31">
        <v>20</v>
      </c>
      <c r="E20" s="31">
        <v>21</v>
      </c>
      <c r="F20" s="31">
        <v>19</v>
      </c>
      <c r="G20" s="31">
        <v>24</v>
      </c>
      <c r="H20" s="4"/>
      <c r="I20" s="4"/>
      <c r="J20" s="4"/>
      <c r="K20" s="4"/>
      <c r="L20" s="4"/>
      <c r="M20" s="4"/>
      <c r="N20" s="4"/>
      <c r="O20" s="4"/>
      <c r="P20" s="9">
        <v>84</v>
      </c>
    </row>
    <row r="21" spans="1:16">
      <c r="A21" s="31">
        <v>19</v>
      </c>
      <c r="B21" s="31" t="s">
        <v>5</v>
      </c>
      <c r="C21" s="31" t="s">
        <v>83</v>
      </c>
      <c r="D21" s="31">
        <v>17</v>
      </c>
      <c r="E21" s="31">
        <v>19</v>
      </c>
      <c r="F21" s="31">
        <v>19</v>
      </c>
      <c r="G21" s="31">
        <v>20</v>
      </c>
      <c r="H21" s="4"/>
      <c r="I21" s="4"/>
      <c r="J21" s="4"/>
      <c r="K21" s="4"/>
      <c r="L21" s="4"/>
      <c r="M21" s="4"/>
      <c r="N21" s="4"/>
      <c r="O21" s="4"/>
      <c r="P21" s="9">
        <v>83</v>
      </c>
    </row>
    <row r="22" spans="1:16">
      <c r="A22" s="31">
        <v>20</v>
      </c>
      <c r="B22" s="31" t="s">
        <v>5</v>
      </c>
      <c r="C22" s="31" t="s">
        <v>84</v>
      </c>
      <c r="D22" s="31">
        <v>13</v>
      </c>
      <c r="E22" s="31">
        <v>28</v>
      </c>
      <c r="F22" s="31">
        <v>23</v>
      </c>
      <c r="G22" s="31">
        <v>16</v>
      </c>
      <c r="H22" s="4"/>
      <c r="I22" s="4"/>
      <c r="J22" s="4"/>
      <c r="K22" s="4"/>
      <c r="L22" s="4"/>
      <c r="M22" s="4"/>
      <c r="N22" s="4"/>
      <c r="O22" s="4"/>
      <c r="P22" s="9">
        <v>81</v>
      </c>
    </row>
    <row r="23" spans="1:16">
      <c r="A23" s="31">
        <v>21</v>
      </c>
      <c r="B23" s="31" t="s">
        <v>5</v>
      </c>
      <c r="C23" s="31" t="s">
        <v>85</v>
      </c>
      <c r="D23" s="31">
        <v>22</v>
      </c>
      <c r="E23" s="31">
        <v>17</v>
      </c>
      <c r="F23" s="31">
        <v>18</v>
      </c>
      <c r="G23" s="31">
        <v>18</v>
      </c>
      <c r="H23" s="4"/>
      <c r="I23" s="4"/>
      <c r="J23" s="4"/>
      <c r="K23" s="4"/>
      <c r="L23" s="4"/>
      <c r="M23" s="4"/>
      <c r="N23" s="4"/>
      <c r="O23" s="4"/>
      <c r="P23" s="9">
        <v>77</v>
      </c>
    </row>
    <row r="24" spans="1:16">
      <c r="A24" s="31">
        <v>22</v>
      </c>
      <c r="B24" s="31" t="s">
        <v>5</v>
      </c>
      <c r="C24" s="31" t="s">
        <v>86</v>
      </c>
      <c r="D24" s="31">
        <v>26</v>
      </c>
      <c r="E24" s="31">
        <v>24</v>
      </c>
      <c r="F24" s="31">
        <v>16</v>
      </c>
      <c r="G24" s="31">
        <v>11</v>
      </c>
      <c r="H24" s="4"/>
      <c r="I24" s="4"/>
      <c r="J24" s="4"/>
      <c r="K24" s="4"/>
      <c r="L24" s="4"/>
      <c r="M24" s="4"/>
      <c r="N24" s="4"/>
      <c r="O24" s="4"/>
      <c r="P24" s="9">
        <v>77</v>
      </c>
    </row>
    <row r="25" spans="1:16">
      <c r="A25" s="31">
        <v>23</v>
      </c>
      <c r="B25" s="31" t="s">
        <v>5</v>
      </c>
      <c r="C25" s="31" t="s">
        <v>87</v>
      </c>
      <c r="D25" s="31">
        <v>18</v>
      </c>
      <c r="E25" s="31">
        <v>12</v>
      </c>
      <c r="F25" s="31">
        <v>12</v>
      </c>
      <c r="G25" s="31">
        <v>27</v>
      </c>
      <c r="H25" s="4"/>
      <c r="I25" s="4"/>
      <c r="J25" s="4"/>
      <c r="K25" s="4"/>
      <c r="L25" s="4"/>
      <c r="M25" s="4"/>
      <c r="N25" s="4"/>
      <c r="O25" s="4"/>
      <c r="P25" s="9">
        <v>70</v>
      </c>
    </row>
    <row r="26" spans="1:16">
      <c r="A26" s="31">
        <v>24</v>
      </c>
      <c r="B26" s="31" t="s">
        <v>5</v>
      </c>
      <c r="C26" s="31" t="s">
        <v>88</v>
      </c>
      <c r="D26" s="31">
        <v>12</v>
      </c>
      <c r="E26" s="31">
        <v>16</v>
      </c>
      <c r="F26" s="31">
        <v>11</v>
      </c>
      <c r="G26" s="31">
        <v>15</v>
      </c>
      <c r="H26" s="4"/>
      <c r="I26" s="4"/>
      <c r="J26" s="4"/>
      <c r="K26" s="4"/>
      <c r="L26" s="4"/>
      <c r="M26" s="4"/>
      <c r="N26" s="4"/>
      <c r="O26" s="4"/>
      <c r="P26" s="9">
        <v>54</v>
      </c>
    </row>
    <row r="27" spans="1:16">
      <c r="A27" s="31">
        <v>25</v>
      </c>
      <c r="B27" s="31" t="s">
        <v>5</v>
      </c>
      <c r="C27" s="31" t="s">
        <v>89</v>
      </c>
      <c r="D27" s="31">
        <v>6</v>
      </c>
      <c r="E27" s="31">
        <v>11</v>
      </c>
      <c r="F27" s="31">
        <v>17</v>
      </c>
      <c r="G27" s="31">
        <v>17</v>
      </c>
      <c r="H27" s="4"/>
      <c r="I27" s="4"/>
      <c r="J27" s="4"/>
      <c r="K27" s="4"/>
      <c r="L27" s="4"/>
      <c r="M27" s="4"/>
      <c r="N27" s="4"/>
      <c r="O27" s="4"/>
      <c r="P27" s="9">
        <v>51</v>
      </c>
    </row>
    <row r="28" spans="1:16">
      <c r="A28" s="31">
        <v>26</v>
      </c>
      <c r="B28" s="31" t="s">
        <v>5</v>
      </c>
      <c r="C28" s="31" t="s">
        <v>90</v>
      </c>
      <c r="D28" s="31">
        <v>16</v>
      </c>
      <c r="E28" s="31">
        <v>17</v>
      </c>
      <c r="F28" s="31">
        <v>12</v>
      </c>
      <c r="G28" s="31">
        <v>5</v>
      </c>
      <c r="H28" s="4"/>
      <c r="I28" s="4"/>
      <c r="J28" s="4"/>
      <c r="K28" s="4"/>
      <c r="L28" s="4"/>
      <c r="M28" s="4"/>
      <c r="N28" s="4"/>
      <c r="O28" s="4"/>
      <c r="P28" s="9">
        <v>51</v>
      </c>
    </row>
    <row r="29" spans="1:16">
      <c r="A29" s="31">
        <v>27</v>
      </c>
      <c r="B29" s="31" t="s">
        <v>5</v>
      </c>
      <c r="C29" s="31" t="s">
        <v>91</v>
      </c>
      <c r="D29" s="31">
        <v>8</v>
      </c>
      <c r="E29" s="31">
        <v>15</v>
      </c>
      <c r="F29" s="31">
        <v>9</v>
      </c>
      <c r="G29" s="31">
        <v>17</v>
      </c>
      <c r="H29" s="4"/>
      <c r="I29" s="4"/>
      <c r="J29" s="4"/>
      <c r="K29" s="4"/>
      <c r="L29" s="4"/>
      <c r="M29" s="4"/>
      <c r="N29" s="4"/>
      <c r="O29" s="4"/>
      <c r="P29" s="9">
        <v>49</v>
      </c>
    </row>
    <row r="30" spans="1:16">
      <c r="A30" s="31">
        <v>28</v>
      </c>
      <c r="B30" s="31" t="s">
        <v>5</v>
      </c>
      <c r="C30" s="31" t="s">
        <v>92</v>
      </c>
      <c r="D30" s="31">
        <v>10</v>
      </c>
      <c r="E30" s="31">
        <v>10</v>
      </c>
      <c r="F30" s="31">
        <v>12</v>
      </c>
      <c r="G30" s="31">
        <v>15</v>
      </c>
      <c r="H30" s="4"/>
      <c r="I30" s="4"/>
      <c r="J30" s="4"/>
      <c r="K30" s="4"/>
      <c r="L30" s="4"/>
      <c r="M30" s="4"/>
      <c r="N30" s="4"/>
      <c r="O30" s="4"/>
      <c r="P30" s="9">
        <v>47</v>
      </c>
    </row>
    <row r="31" spans="1:16">
      <c r="A31" s="31">
        <v>29</v>
      </c>
      <c r="B31" s="31" t="s">
        <v>5</v>
      </c>
      <c r="C31" s="31" t="s">
        <v>93</v>
      </c>
      <c r="D31" s="31">
        <v>10</v>
      </c>
      <c r="E31" s="31">
        <v>12</v>
      </c>
      <c r="F31" s="31">
        <v>17</v>
      </c>
      <c r="G31" s="31">
        <v>5</v>
      </c>
      <c r="H31" s="4"/>
      <c r="I31" s="4"/>
      <c r="J31" s="4"/>
      <c r="K31" s="4"/>
      <c r="L31" s="4"/>
      <c r="M31" s="4"/>
      <c r="N31" s="4"/>
      <c r="O31" s="4"/>
      <c r="P31" s="9">
        <v>45</v>
      </c>
    </row>
    <row r="32" spans="1:16">
      <c r="A32" s="31">
        <v>30</v>
      </c>
      <c r="B32" s="31" t="s">
        <v>5</v>
      </c>
      <c r="C32" s="31" t="s">
        <v>94</v>
      </c>
      <c r="D32" s="31">
        <v>17</v>
      </c>
      <c r="E32" s="31">
        <v>11</v>
      </c>
      <c r="F32" s="31">
        <v>8</v>
      </c>
      <c r="G32" s="31">
        <v>7</v>
      </c>
      <c r="H32" s="4"/>
      <c r="I32" s="4"/>
      <c r="J32" s="4"/>
      <c r="K32" s="4"/>
      <c r="L32" s="4"/>
      <c r="M32" s="4"/>
      <c r="N32" s="4"/>
      <c r="O32" s="4"/>
      <c r="P32" s="9">
        <v>45</v>
      </c>
    </row>
    <row r="33" spans="1:16">
      <c r="A33" s="31">
        <v>31</v>
      </c>
      <c r="B33" s="31" t="s">
        <v>5</v>
      </c>
      <c r="C33" s="31" t="s">
        <v>95</v>
      </c>
      <c r="D33" s="31">
        <v>12</v>
      </c>
      <c r="E33" s="31">
        <v>12</v>
      </c>
      <c r="F33" s="31">
        <v>10</v>
      </c>
      <c r="G33" s="31">
        <v>8</v>
      </c>
      <c r="H33" s="4"/>
      <c r="I33" s="4"/>
      <c r="J33" s="4"/>
      <c r="K33" s="4"/>
      <c r="L33" s="4"/>
      <c r="M33" s="4"/>
      <c r="N33" s="4"/>
      <c r="O33" s="4"/>
      <c r="P33" s="9">
        <v>44</v>
      </c>
    </row>
    <row r="34" spans="1:16">
      <c r="A34" s="31">
        <v>32</v>
      </c>
      <c r="B34" s="31" t="s">
        <v>5</v>
      </c>
      <c r="C34" s="31" t="s">
        <v>96</v>
      </c>
      <c r="D34" s="31">
        <v>9</v>
      </c>
      <c r="E34" s="31">
        <v>8</v>
      </c>
      <c r="F34" s="31">
        <v>10</v>
      </c>
      <c r="G34" s="31">
        <v>11</v>
      </c>
      <c r="H34" s="4"/>
      <c r="I34" s="4"/>
      <c r="J34" s="4"/>
      <c r="K34" s="4"/>
      <c r="L34" s="4"/>
      <c r="M34" s="4"/>
      <c r="N34" s="4"/>
      <c r="O34" s="4"/>
      <c r="P34" s="9">
        <v>38</v>
      </c>
    </row>
    <row r="35" spans="1:16">
      <c r="A35" s="31">
        <v>33</v>
      </c>
      <c r="B35" s="31" t="s">
        <v>5</v>
      </c>
      <c r="C35" s="31" t="s">
        <v>97</v>
      </c>
      <c r="D35" s="31">
        <v>6</v>
      </c>
      <c r="E35" s="31">
        <v>7</v>
      </c>
      <c r="F35" s="31">
        <v>10</v>
      </c>
      <c r="G35" s="31">
        <v>15</v>
      </c>
      <c r="H35" s="4"/>
      <c r="I35" s="4"/>
      <c r="J35" s="4"/>
      <c r="K35" s="4"/>
      <c r="L35" s="4"/>
      <c r="M35" s="4"/>
      <c r="N35" s="4"/>
      <c r="O35" s="4"/>
      <c r="P35" s="9">
        <v>38</v>
      </c>
    </row>
    <row r="36" spans="1:16">
      <c r="A36" s="31">
        <v>34</v>
      </c>
      <c r="B36" s="31" t="s">
        <v>5</v>
      </c>
      <c r="C36" s="31" t="s">
        <v>98</v>
      </c>
      <c r="D36" s="31">
        <v>8</v>
      </c>
      <c r="E36" s="31">
        <v>7</v>
      </c>
      <c r="F36" s="31">
        <v>9</v>
      </c>
      <c r="G36" s="31">
        <v>12</v>
      </c>
      <c r="H36" s="4"/>
      <c r="I36" s="4"/>
      <c r="J36" s="4"/>
      <c r="K36" s="4"/>
      <c r="L36" s="4"/>
      <c r="M36" s="4"/>
      <c r="N36" s="4"/>
      <c r="O36" s="4"/>
      <c r="P36" s="9">
        <v>36</v>
      </c>
    </row>
    <row r="37" spans="1:16">
      <c r="A37" s="31">
        <v>35</v>
      </c>
      <c r="B37" s="31" t="s">
        <v>5</v>
      </c>
      <c r="C37" s="31" t="s">
        <v>99</v>
      </c>
      <c r="D37" s="31">
        <v>6</v>
      </c>
      <c r="E37" s="31">
        <v>11</v>
      </c>
      <c r="F37" s="31">
        <v>7</v>
      </c>
      <c r="G37" s="31">
        <v>10</v>
      </c>
      <c r="H37" s="4"/>
      <c r="I37" s="4"/>
      <c r="J37" s="4"/>
      <c r="K37" s="4"/>
      <c r="L37" s="4"/>
      <c r="M37" s="4"/>
      <c r="N37" s="4"/>
      <c r="O37" s="4"/>
      <c r="P37" s="9">
        <v>35</v>
      </c>
    </row>
    <row r="38" spans="1:16">
      <c r="A38" s="31">
        <v>36</v>
      </c>
      <c r="B38" s="31" t="s">
        <v>5</v>
      </c>
      <c r="C38" s="31" t="s">
        <v>100</v>
      </c>
      <c r="D38" s="31">
        <v>8</v>
      </c>
      <c r="E38" s="31">
        <v>7</v>
      </c>
      <c r="F38" s="31">
        <v>9</v>
      </c>
      <c r="G38" s="31">
        <v>8</v>
      </c>
      <c r="H38" s="4"/>
      <c r="I38" s="4"/>
      <c r="J38" s="4"/>
      <c r="K38" s="4"/>
      <c r="L38" s="4"/>
      <c r="M38" s="4"/>
      <c r="N38" s="4"/>
      <c r="O38" s="4"/>
      <c r="P38" s="9">
        <v>32</v>
      </c>
    </row>
    <row r="39" spans="1:16">
      <c r="A39" s="31">
        <v>37</v>
      </c>
      <c r="B39" s="31" t="s">
        <v>5</v>
      </c>
      <c r="C39" s="31" t="s">
        <v>101</v>
      </c>
      <c r="D39" s="31">
        <v>7</v>
      </c>
      <c r="E39" s="31">
        <v>10</v>
      </c>
      <c r="F39" s="31">
        <v>8</v>
      </c>
      <c r="G39" s="31">
        <v>5</v>
      </c>
      <c r="H39" s="4"/>
      <c r="I39" s="4"/>
      <c r="J39" s="4"/>
      <c r="K39" s="4"/>
      <c r="L39" s="4"/>
      <c r="M39" s="4"/>
      <c r="N39" s="4"/>
      <c r="O39" s="4"/>
      <c r="P39" s="9">
        <v>30</v>
      </c>
    </row>
    <row r="40" spans="1:16">
      <c r="A40" s="31">
        <v>38</v>
      </c>
      <c r="B40" s="31" t="s">
        <v>5</v>
      </c>
      <c r="C40" s="31" t="s">
        <v>102</v>
      </c>
      <c r="D40" s="31">
        <v>8</v>
      </c>
      <c r="E40" s="31">
        <v>4</v>
      </c>
      <c r="F40" s="31">
        <v>10</v>
      </c>
      <c r="G40" s="31">
        <v>7</v>
      </c>
      <c r="H40" s="4"/>
      <c r="I40" s="4"/>
      <c r="J40" s="4"/>
      <c r="K40" s="4"/>
      <c r="L40" s="4"/>
      <c r="M40" s="4"/>
      <c r="N40" s="4"/>
      <c r="O40" s="4"/>
      <c r="P40" s="9">
        <v>29</v>
      </c>
    </row>
    <row r="41" spans="1:16">
      <c r="A41" s="31">
        <v>39</v>
      </c>
      <c r="B41" s="31" t="s">
        <v>5</v>
      </c>
      <c r="C41" s="31" t="s">
        <v>103</v>
      </c>
      <c r="D41" s="31">
        <v>9</v>
      </c>
      <c r="E41" s="31">
        <v>12</v>
      </c>
      <c r="F41" s="31">
        <v>2</v>
      </c>
      <c r="G41" s="31">
        <v>2</v>
      </c>
      <c r="H41" s="4"/>
      <c r="I41" s="4"/>
      <c r="J41" s="4"/>
      <c r="K41" s="4"/>
      <c r="L41" s="4"/>
      <c r="M41" s="4"/>
      <c r="N41" s="4"/>
      <c r="O41" s="4"/>
      <c r="P41" s="9">
        <v>25</v>
      </c>
    </row>
    <row r="42" spans="1:16">
      <c r="A42" s="31">
        <v>40</v>
      </c>
      <c r="B42" s="31" t="s">
        <v>5</v>
      </c>
      <c r="C42" s="31" t="s">
        <v>104</v>
      </c>
      <c r="D42" s="31">
        <v>5</v>
      </c>
      <c r="E42" s="31">
        <v>7</v>
      </c>
      <c r="F42" s="31">
        <v>6</v>
      </c>
      <c r="G42" s="31">
        <v>5</v>
      </c>
      <c r="H42" s="4"/>
      <c r="I42" s="4"/>
      <c r="J42" s="4"/>
      <c r="K42" s="4"/>
      <c r="L42" s="4"/>
      <c r="M42" s="4"/>
      <c r="N42" s="4"/>
      <c r="O42" s="4"/>
      <c r="P42" s="9">
        <v>24</v>
      </c>
    </row>
    <row r="43" spans="1:16">
      <c r="A43" s="31">
        <v>41</v>
      </c>
      <c r="B43" s="31" t="s">
        <v>5</v>
      </c>
      <c r="C43" s="31" t="s">
        <v>105</v>
      </c>
      <c r="D43" s="31">
        <v>15</v>
      </c>
      <c r="E43" s="31">
        <v>2</v>
      </c>
      <c r="F43" s="31">
        <v>6</v>
      </c>
      <c r="G43" s="31">
        <v>1</v>
      </c>
      <c r="H43" s="4"/>
      <c r="I43" s="4"/>
      <c r="J43" s="4"/>
      <c r="K43" s="4"/>
      <c r="L43" s="4"/>
      <c r="M43" s="4"/>
      <c r="N43" s="4"/>
      <c r="O43" s="4"/>
      <c r="P43" s="9">
        <v>24</v>
      </c>
    </row>
    <row r="44" spans="1:16">
      <c r="A44" s="31">
        <v>42</v>
      </c>
      <c r="B44" s="31" t="s">
        <v>5</v>
      </c>
      <c r="C44" s="31" t="s">
        <v>106</v>
      </c>
      <c r="D44" s="31">
        <v>4</v>
      </c>
      <c r="E44" s="31">
        <v>3</v>
      </c>
      <c r="F44" s="31">
        <v>7</v>
      </c>
      <c r="G44" s="31">
        <v>8</v>
      </c>
      <c r="H44" s="4"/>
      <c r="I44" s="4"/>
      <c r="J44" s="4"/>
      <c r="K44" s="4"/>
      <c r="L44" s="4"/>
      <c r="M44" s="4"/>
      <c r="N44" s="4"/>
      <c r="O44" s="4"/>
      <c r="P44" s="9">
        <v>22</v>
      </c>
    </row>
    <row r="45" spans="1:16">
      <c r="A45" s="31">
        <v>43</v>
      </c>
      <c r="B45" s="31" t="s">
        <v>5</v>
      </c>
      <c r="C45" s="31" t="s">
        <v>107</v>
      </c>
      <c r="D45" s="31">
        <v>4</v>
      </c>
      <c r="E45" s="31">
        <v>5</v>
      </c>
      <c r="F45" s="31">
        <v>9</v>
      </c>
      <c r="G45" s="31">
        <v>3</v>
      </c>
      <c r="H45" s="4"/>
      <c r="I45" s="4"/>
      <c r="J45" s="4"/>
      <c r="K45" s="4"/>
      <c r="L45" s="4"/>
      <c r="M45" s="4"/>
      <c r="N45" s="4"/>
      <c r="O45" s="4"/>
      <c r="P45" s="9">
        <v>21</v>
      </c>
    </row>
    <row r="46" spans="1:16">
      <c r="A46" s="31">
        <v>44</v>
      </c>
      <c r="B46" s="31" t="s">
        <v>5</v>
      </c>
      <c r="C46" s="31" t="s">
        <v>108</v>
      </c>
      <c r="D46" s="31">
        <v>6</v>
      </c>
      <c r="E46" s="31">
        <v>2</v>
      </c>
      <c r="F46" s="31">
        <v>3</v>
      </c>
      <c r="G46" s="31">
        <v>9</v>
      </c>
      <c r="H46" s="4"/>
      <c r="I46" s="4"/>
      <c r="J46" s="4"/>
      <c r="K46" s="4"/>
      <c r="L46" s="4"/>
      <c r="M46" s="4"/>
      <c r="N46" s="4"/>
      <c r="O46" s="4"/>
      <c r="P46" s="9">
        <v>20</v>
      </c>
    </row>
    <row r="47" spans="1:16">
      <c r="A47" s="31">
        <v>45</v>
      </c>
      <c r="B47" s="31" t="s">
        <v>5</v>
      </c>
      <c r="C47" s="31" t="s">
        <v>109</v>
      </c>
      <c r="D47" s="31">
        <v>3</v>
      </c>
      <c r="E47" s="31">
        <v>3</v>
      </c>
      <c r="F47" s="31">
        <v>7</v>
      </c>
      <c r="G47" s="31">
        <v>6</v>
      </c>
      <c r="H47" s="4"/>
      <c r="I47" s="4"/>
      <c r="J47" s="4"/>
      <c r="K47" s="4"/>
      <c r="L47" s="4"/>
      <c r="M47" s="4"/>
      <c r="N47" s="4"/>
      <c r="O47" s="4"/>
      <c r="P47" s="9">
        <v>19</v>
      </c>
    </row>
    <row r="48" spans="1:16">
      <c r="A48" s="31">
        <v>46</v>
      </c>
      <c r="B48" s="31" t="s">
        <v>5</v>
      </c>
      <c r="C48" s="31" t="s">
        <v>110</v>
      </c>
      <c r="D48" s="31">
        <v>2</v>
      </c>
      <c r="E48" s="31">
        <v>6</v>
      </c>
      <c r="F48" s="31">
        <v>4</v>
      </c>
      <c r="G48" s="31">
        <v>6</v>
      </c>
      <c r="H48" s="4"/>
      <c r="I48" s="4"/>
      <c r="J48" s="4"/>
      <c r="K48" s="4"/>
      <c r="L48" s="4"/>
      <c r="M48" s="4"/>
      <c r="N48" s="4"/>
      <c r="O48" s="4"/>
      <c r="P48" s="9">
        <v>18</v>
      </c>
    </row>
    <row r="49" spans="1:16">
      <c r="A49" s="31">
        <v>47</v>
      </c>
      <c r="B49" s="31" t="s">
        <v>5</v>
      </c>
      <c r="C49" s="31" t="s">
        <v>111</v>
      </c>
      <c r="D49" s="31">
        <v>7</v>
      </c>
      <c r="E49" s="31">
        <v>3</v>
      </c>
      <c r="F49" s="31">
        <v>5</v>
      </c>
      <c r="G49" s="31">
        <v>3</v>
      </c>
      <c r="H49" s="4"/>
      <c r="I49" s="4"/>
      <c r="J49" s="4"/>
      <c r="K49" s="4"/>
      <c r="L49" s="4"/>
      <c r="M49" s="4"/>
      <c r="N49" s="4"/>
      <c r="O49" s="4"/>
      <c r="P49" s="9">
        <v>18</v>
      </c>
    </row>
    <row r="50" spans="1:16">
      <c r="A50" s="31">
        <v>48</v>
      </c>
      <c r="B50" s="31" t="s">
        <v>5</v>
      </c>
      <c r="C50" s="31" t="s">
        <v>112</v>
      </c>
      <c r="D50" s="31">
        <v>5</v>
      </c>
      <c r="E50" s="31">
        <v>4</v>
      </c>
      <c r="F50" s="31">
        <v>4</v>
      </c>
      <c r="G50" s="31">
        <v>5</v>
      </c>
      <c r="H50" s="4"/>
      <c r="I50" s="4"/>
      <c r="J50" s="4"/>
      <c r="K50" s="4"/>
      <c r="L50" s="4"/>
      <c r="M50" s="4"/>
      <c r="N50" s="4"/>
      <c r="O50" s="4"/>
      <c r="P50" s="9">
        <v>18</v>
      </c>
    </row>
    <row r="51" spans="1:16">
      <c r="A51" s="31">
        <v>49</v>
      </c>
      <c r="B51" s="31" t="s">
        <v>5</v>
      </c>
      <c r="C51" s="31" t="s">
        <v>113</v>
      </c>
      <c r="D51" s="31">
        <v>5</v>
      </c>
      <c r="E51" s="31">
        <v>4</v>
      </c>
      <c r="F51" s="31">
        <v>5</v>
      </c>
      <c r="G51" s="31">
        <v>3</v>
      </c>
      <c r="H51" s="4"/>
      <c r="I51" s="4"/>
      <c r="J51" s="4"/>
      <c r="K51" s="4"/>
      <c r="L51" s="4"/>
      <c r="M51" s="4"/>
      <c r="N51" s="4"/>
      <c r="O51" s="4"/>
      <c r="P51" s="9">
        <v>17</v>
      </c>
    </row>
    <row r="52" spans="1:16">
      <c r="A52" s="31">
        <v>50</v>
      </c>
      <c r="B52" s="31" t="s">
        <v>5</v>
      </c>
      <c r="C52" s="31" t="s">
        <v>114</v>
      </c>
      <c r="D52" s="31">
        <v>1</v>
      </c>
      <c r="E52" s="31">
        <v>5</v>
      </c>
      <c r="F52" s="31">
        <v>4</v>
      </c>
      <c r="G52" s="31">
        <v>5</v>
      </c>
      <c r="H52" s="4"/>
      <c r="I52" s="4"/>
      <c r="J52" s="4"/>
      <c r="K52" s="4"/>
      <c r="L52" s="4"/>
      <c r="M52" s="4"/>
      <c r="N52" s="4"/>
      <c r="O52" s="4"/>
      <c r="P52" s="9">
        <v>16</v>
      </c>
    </row>
    <row r="53" spans="1:16">
      <c r="A53" s="31">
        <v>51</v>
      </c>
      <c r="B53" s="31" t="s">
        <v>5</v>
      </c>
      <c r="C53" s="31" t="s">
        <v>115</v>
      </c>
      <c r="D53" s="31">
        <v>6</v>
      </c>
      <c r="E53" s="31">
        <v>2</v>
      </c>
      <c r="F53" s="31">
        <v>5</v>
      </c>
      <c r="G53" s="31"/>
      <c r="H53" s="4"/>
      <c r="I53" s="4"/>
      <c r="J53" s="4"/>
      <c r="K53" s="4"/>
      <c r="L53" s="4"/>
      <c r="M53" s="4"/>
      <c r="N53" s="4"/>
      <c r="O53" s="4"/>
      <c r="P53" s="9">
        <v>13</v>
      </c>
    </row>
    <row r="54" spans="1:16">
      <c r="A54" s="31">
        <v>52</v>
      </c>
      <c r="B54" s="31" t="s">
        <v>5</v>
      </c>
      <c r="C54" s="31" t="s">
        <v>116</v>
      </c>
      <c r="D54" s="31">
        <v>3</v>
      </c>
      <c r="E54" s="31">
        <v>1</v>
      </c>
      <c r="F54" s="31">
        <v>3</v>
      </c>
      <c r="G54" s="31">
        <v>3</v>
      </c>
      <c r="H54" s="4"/>
      <c r="I54" s="4"/>
      <c r="J54" s="4"/>
      <c r="K54" s="4"/>
      <c r="L54" s="4"/>
      <c r="M54" s="4"/>
      <c r="N54" s="4"/>
      <c r="O54" s="4"/>
      <c r="P54" s="9">
        <v>10</v>
      </c>
    </row>
    <row r="55" spans="1:16">
      <c r="A55" s="31">
        <v>53</v>
      </c>
      <c r="B55" s="31" t="s">
        <v>5</v>
      </c>
      <c r="C55" s="31" t="s">
        <v>117</v>
      </c>
      <c r="D55" s="31">
        <v>3</v>
      </c>
      <c r="E55" s="31">
        <v>3</v>
      </c>
      <c r="F55" s="31">
        <v>3</v>
      </c>
      <c r="G55" s="31"/>
      <c r="H55" s="4"/>
      <c r="I55" s="4"/>
      <c r="J55" s="4"/>
      <c r="K55" s="4"/>
      <c r="L55" s="4"/>
      <c r="M55" s="4"/>
      <c r="N55" s="4"/>
      <c r="O55" s="4"/>
      <c r="P55" s="9">
        <v>9</v>
      </c>
    </row>
    <row r="56" spans="1:16">
      <c r="A56" s="31">
        <v>54</v>
      </c>
      <c r="B56" s="31" t="s">
        <v>5</v>
      </c>
      <c r="C56" s="31" t="s">
        <v>118</v>
      </c>
      <c r="D56" s="31">
        <v>2</v>
      </c>
      <c r="E56" s="31">
        <v>1</v>
      </c>
      <c r="F56" s="31"/>
      <c r="G56" s="31">
        <v>6</v>
      </c>
      <c r="H56" s="4"/>
      <c r="I56" s="4"/>
      <c r="J56" s="4"/>
      <c r="K56" s="4"/>
      <c r="L56" s="4"/>
      <c r="M56" s="4"/>
      <c r="N56" s="4"/>
      <c r="O56" s="4"/>
      <c r="P56" s="9">
        <v>9</v>
      </c>
    </row>
    <row r="57" spans="1:16">
      <c r="A57" s="31">
        <v>55</v>
      </c>
      <c r="B57" s="31" t="s">
        <v>5</v>
      </c>
      <c r="C57" s="31" t="s">
        <v>119</v>
      </c>
      <c r="D57" s="31">
        <v>4</v>
      </c>
      <c r="E57" s="31">
        <v>1</v>
      </c>
      <c r="F57" s="31">
        <v>1</v>
      </c>
      <c r="G57" s="31">
        <v>2</v>
      </c>
      <c r="H57" s="4"/>
      <c r="I57" s="4"/>
      <c r="J57" s="4"/>
      <c r="K57" s="4"/>
      <c r="L57" s="4"/>
      <c r="M57" s="4"/>
      <c r="N57" s="4"/>
      <c r="O57" s="4"/>
      <c r="P57" s="9">
        <v>8</v>
      </c>
    </row>
    <row r="58" spans="1:16">
      <c r="A58" s="31">
        <v>56</v>
      </c>
      <c r="B58" s="31" t="s">
        <v>5</v>
      </c>
      <c r="C58" s="31" t="s">
        <v>120</v>
      </c>
      <c r="D58" s="32"/>
      <c r="E58" s="31">
        <v>2</v>
      </c>
      <c r="F58" s="31">
        <v>5</v>
      </c>
      <c r="G58" s="31">
        <v>1</v>
      </c>
      <c r="H58" s="4"/>
      <c r="I58" s="4"/>
      <c r="J58" s="4"/>
      <c r="K58" s="4"/>
      <c r="L58" s="4"/>
      <c r="M58" s="4"/>
      <c r="N58" s="4"/>
      <c r="O58" s="4"/>
      <c r="P58" s="9">
        <v>8</v>
      </c>
    </row>
    <row r="59" spans="1:16">
      <c r="A59" s="31">
        <v>57</v>
      </c>
      <c r="B59" s="31" t="s">
        <v>5</v>
      </c>
      <c r="C59" s="31" t="s">
        <v>121</v>
      </c>
      <c r="D59" s="31">
        <v>1</v>
      </c>
      <c r="E59" s="31">
        <v>1</v>
      </c>
      <c r="F59" s="31">
        <v>1</v>
      </c>
      <c r="G59" s="31">
        <v>4</v>
      </c>
      <c r="H59" s="4"/>
      <c r="I59" s="4"/>
      <c r="J59" s="4"/>
      <c r="K59" s="4"/>
      <c r="L59" s="4"/>
      <c r="M59" s="4"/>
      <c r="N59" s="4"/>
      <c r="O59" s="4"/>
      <c r="P59" s="31">
        <v>7</v>
      </c>
    </row>
    <row r="60" spans="1:16">
      <c r="A60" s="31">
        <v>58</v>
      </c>
      <c r="B60" s="31" t="s">
        <v>5</v>
      </c>
      <c r="C60" s="31" t="s">
        <v>122</v>
      </c>
      <c r="D60" s="31">
        <v>2</v>
      </c>
      <c r="E60" s="31">
        <v>2</v>
      </c>
      <c r="F60" s="31">
        <v>2</v>
      </c>
      <c r="G60" s="31">
        <v>1</v>
      </c>
      <c r="H60" s="4"/>
      <c r="I60" s="4"/>
      <c r="J60" s="4"/>
      <c r="K60" s="4"/>
      <c r="L60" s="4"/>
      <c r="M60" s="4"/>
      <c r="N60" s="4"/>
      <c r="O60" s="4"/>
      <c r="P60" s="9">
        <v>7</v>
      </c>
    </row>
    <row r="61" spans="1:16">
      <c r="A61" s="31">
        <v>59</v>
      </c>
      <c r="B61" s="31" t="s">
        <v>5</v>
      </c>
      <c r="C61" s="31" t="s">
        <v>123</v>
      </c>
      <c r="D61" s="31">
        <v>1</v>
      </c>
      <c r="E61" s="31">
        <v>1</v>
      </c>
      <c r="F61" s="31">
        <v>2</v>
      </c>
      <c r="G61" s="31">
        <v>1</v>
      </c>
      <c r="H61" s="4"/>
      <c r="I61" s="4"/>
      <c r="J61" s="4"/>
      <c r="K61" s="4"/>
      <c r="L61" s="4"/>
      <c r="M61" s="4"/>
      <c r="N61" s="4"/>
      <c r="O61" s="4"/>
      <c r="P61" s="9">
        <v>7</v>
      </c>
    </row>
    <row r="62" spans="1:16">
      <c r="A62" s="31">
        <v>60</v>
      </c>
      <c r="B62" s="31" t="s">
        <v>5</v>
      </c>
      <c r="C62" s="31" t="s">
        <v>124</v>
      </c>
      <c r="D62" s="32"/>
      <c r="E62" s="31">
        <v>2</v>
      </c>
      <c r="F62" s="31">
        <v>2</v>
      </c>
      <c r="G62" s="31">
        <v>2</v>
      </c>
      <c r="H62" s="4"/>
      <c r="I62" s="4"/>
      <c r="J62" s="4"/>
      <c r="K62" s="4"/>
      <c r="L62" s="4"/>
      <c r="M62" s="4"/>
      <c r="N62" s="4"/>
      <c r="O62" s="4"/>
      <c r="P62" s="9">
        <v>6</v>
      </c>
    </row>
    <row r="63" spans="1:16">
      <c r="A63" s="31">
        <v>61</v>
      </c>
      <c r="B63" s="31" t="s">
        <v>5</v>
      </c>
      <c r="C63" s="31" t="s">
        <v>125</v>
      </c>
      <c r="D63" s="31">
        <v>1</v>
      </c>
      <c r="E63" s="31">
        <v>3</v>
      </c>
      <c r="F63" s="31">
        <v>1</v>
      </c>
      <c r="G63" s="31">
        <v>1</v>
      </c>
      <c r="H63" s="4"/>
      <c r="I63" s="4"/>
      <c r="J63" s="4"/>
      <c r="K63" s="4"/>
      <c r="L63" s="4"/>
      <c r="M63" s="4"/>
      <c r="N63" s="4"/>
      <c r="O63" s="4"/>
      <c r="P63" s="9">
        <v>6</v>
      </c>
    </row>
    <row r="64" spans="1:16">
      <c r="A64" s="31">
        <v>62</v>
      </c>
      <c r="B64" s="31" t="s">
        <v>5</v>
      </c>
      <c r="C64" s="31" t="s">
        <v>126</v>
      </c>
      <c r="D64" s="31">
        <v>2</v>
      </c>
      <c r="E64" s="31">
        <v>1</v>
      </c>
      <c r="F64" s="31">
        <v>2</v>
      </c>
      <c r="G64" s="31"/>
      <c r="H64" s="4"/>
      <c r="I64" s="4"/>
      <c r="J64" s="4"/>
      <c r="K64" s="4"/>
      <c r="L64" s="4"/>
      <c r="M64" s="4"/>
      <c r="N64" s="4"/>
      <c r="O64" s="4"/>
      <c r="P64" s="9">
        <v>5</v>
      </c>
    </row>
    <row r="65" spans="1:16">
      <c r="A65" s="31">
        <v>63</v>
      </c>
      <c r="B65" s="31" t="s">
        <v>5</v>
      </c>
      <c r="C65" s="31" t="s">
        <v>127</v>
      </c>
      <c r="D65" s="31">
        <v>2</v>
      </c>
      <c r="E65" s="31">
        <v>1</v>
      </c>
      <c r="F65" s="31">
        <v>2</v>
      </c>
      <c r="G65" s="31"/>
      <c r="H65" s="4"/>
      <c r="I65" s="4"/>
      <c r="J65" s="4"/>
      <c r="K65" s="4"/>
      <c r="L65" s="4"/>
      <c r="M65" s="4"/>
      <c r="N65" s="4"/>
      <c r="O65" s="4"/>
      <c r="P65" s="9">
        <v>5</v>
      </c>
    </row>
    <row r="66" spans="1:16">
      <c r="A66" s="31">
        <v>64</v>
      </c>
      <c r="B66" s="31" t="s">
        <v>5</v>
      </c>
      <c r="C66" s="31" t="s">
        <v>128</v>
      </c>
      <c r="D66" s="31">
        <v>1</v>
      </c>
      <c r="E66" s="31">
        <v>2</v>
      </c>
      <c r="F66" s="31">
        <v>1</v>
      </c>
      <c r="G66" s="31">
        <v>1</v>
      </c>
      <c r="H66" s="4"/>
      <c r="I66" s="4"/>
      <c r="J66" s="4"/>
      <c r="K66" s="4"/>
      <c r="L66" s="4"/>
      <c r="M66" s="4"/>
      <c r="N66" s="4"/>
      <c r="O66" s="4"/>
      <c r="P66" s="9">
        <v>5</v>
      </c>
    </row>
    <row r="67" spans="1:16">
      <c r="A67" s="31">
        <v>65</v>
      </c>
      <c r="B67" s="31" t="s">
        <v>5</v>
      </c>
      <c r="C67" s="31" t="s">
        <v>129</v>
      </c>
      <c r="D67" s="31">
        <v>2</v>
      </c>
      <c r="E67" s="31"/>
      <c r="F67" s="31"/>
      <c r="G67" s="31">
        <v>1</v>
      </c>
      <c r="H67" s="4"/>
      <c r="I67" s="4"/>
      <c r="J67" s="4"/>
      <c r="K67" s="4"/>
      <c r="L67" s="4"/>
      <c r="M67" s="4"/>
      <c r="N67" s="4"/>
      <c r="O67" s="4"/>
      <c r="P67" s="9">
        <v>4</v>
      </c>
    </row>
    <row r="68" spans="1:16">
      <c r="A68" s="31">
        <v>66</v>
      </c>
      <c r="B68" s="31" t="s">
        <v>5</v>
      </c>
      <c r="C68" s="31" t="s">
        <v>130</v>
      </c>
      <c r="D68" s="31">
        <v>1</v>
      </c>
      <c r="E68" s="31">
        <v>1</v>
      </c>
      <c r="F68" s="31">
        <v>1</v>
      </c>
      <c r="G68" s="31">
        <v>1</v>
      </c>
      <c r="H68" s="4"/>
      <c r="I68" s="4"/>
      <c r="J68" s="4"/>
      <c r="K68" s="4"/>
      <c r="L68" s="4"/>
      <c r="M68" s="4"/>
      <c r="N68" s="4"/>
      <c r="O68" s="4"/>
      <c r="P68" s="9">
        <v>4</v>
      </c>
    </row>
    <row r="69" spans="1:16">
      <c r="A69" s="31">
        <v>67</v>
      </c>
      <c r="B69" s="31" t="s">
        <v>5</v>
      </c>
      <c r="C69" s="31" t="s">
        <v>131</v>
      </c>
      <c r="D69" s="31">
        <v>1</v>
      </c>
      <c r="E69" s="31">
        <v>2</v>
      </c>
      <c r="F69" s="31">
        <v>1</v>
      </c>
      <c r="G69" s="31"/>
      <c r="H69" s="4"/>
      <c r="I69" s="4"/>
      <c r="J69" s="4"/>
      <c r="K69" s="4"/>
      <c r="L69" s="4"/>
      <c r="M69" s="4"/>
      <c r="N69" s="4"/>
      <c r="O69" s="4"/>
      <c r="P69" s="9">
        <v>4</v>
      </c>
    </row>
    <row r="70" spans="1:16">
      <c r="A70" s="31">
        <v>68</v>
      </c>
      <c r="B70" s="31" t="s">
        <v>5</v>
      </c>
      <c r="C70" s="31" t="s">
        <v>132</v>
      </c>
      <c r="D70" s="31">
        <v>2</v>
      </c>
      <c r="E70" s="31"/>
      <c r="F70" s="31">
        <v>2</v>
      </c>
      <c r="G70" s="31"/>
      <c r="H70" s="4"/>
      <c r="I70" s="4"/>
      <c r="J70" s="4"/>
      <c r="K70" s="4"/>
      <c r="L70" s="4"/>
      <c r="M70" s="4"/>
      <c r="N70" s="4"/>
      <c r="O70" s="4"/>
      <c r="P70" s="9">
        <v>4</v>
      </c>
    </row>
    <row r="71" spans="1:16">
      <c r="A71" s="31">
        <v>69</v>
      </c>
      <c r="B71" s="31" t="s">
        <v>5</v>
      </c>
      <c r="C71" s="31" t="s">
        <v>133</v>
      </c>
      <c r="D71" s="31">
        <v>2</v>
      </c>
      <c r="E71" s="31"/>
      <c r="F71" s="31"/>
      <c r="G71" s="31"/>
      <c r="H71" s="4"/>
      <c r="I71" s="4"/>
      <c r="J71" s="4"/>
      <c r="K71" s="4"/>
      <c r="L71" s="4"/>
      <c r="M71" s="4"/>
      <c r="N71" s="4"/>
      <c r="O71" s="4"/>
      <c r="P71" s="9">
        <v>3</v>
      </c>
    </row>
    <row r="72" spans="1:16">
      <c r="A72" s="31">
        <v>70</v>
      </c>
      <c r="B72" s="31" t="s">
        <v>5</v>
      </c>
      <c r="C72" s="31" t="s">
        <v>134</v>
      </c>
      <c r="D72" s="32"/>
      <c r="E72" s="31">
        <v>2</v>
      </c>
      <c r="F72" s="31">
        <v>1</v>
      </c>
      <c r="G72" s="31"/>
      <c r="H72" s="4"/>
      <c r="I72" s="4"/>
      <c r="J72" s="4"/>
      <c r="K72" s="4"/>
      <c r="L72" s="4"/>
      <c r="M72" s="4"/>
      <c r="N72" s="4"/>
      <c r="O72" s="4"/>
      <c r="P72" s="9">
        <v>3</v>
      </c>
    </row>
    <row r="73" spans="1:16">
      <c r="A73" s="31">
        <v>71</v>
      </c>
      <c r="B73" s="31" t="s">
        <v>5</v>
      </c>
      <c r="C73" s="31" t="s">
        <v>135</v>
      </c>
      <c r="D73" s="31">
        <v>1</v>
      </c>
      <c r="E73" s="31"/>
      <c r="F73" s="31">
        <v>1</v>
      </c>
      <c r="G73" s="31">
        <v>1</v>
      </c>
      <c r="H73" s="4"/>
      <c r="I73" s="4"/>
      <c r="J73" s="4"/>
      <c r="K73" s="4"/>
      <c r="L73" s="4"/>
      <c r="M73" s="4"/>
      <c r="N73" s="4"/>
      <c r="O73" s="4"/>
      <c r="P73" s="9">
        <v>3</v>
      </c>
    </row>
    <row r="74" spans="1:16">
      <c r="A74" s="31">
        <v>72</v>
      </c>
      <c r="B74" s="31" t="s">
        <v>5</v>
      </c>
      <c r="C74" s="31" t="s">
        <v>136</v>
      </c>
      <c r="D74" s="31">
        <v>1</v>
      </c>
      <c r="E74" s="31"/>
      <c r="F74" s="31"/>
      <c r="G74" s="31">
        <v>2</v>
      </c>
      <c r="H74" s="4"/>
      <c r="I74" s="4"/>
      <c r="J74" s="4"/>
      <c r="K74" s="4"/>
      <c r="L74" s="4"/>
      <c r="M74" s="4"/>
      <c r="N74" s="4"/>
      <c r="O74" s="4"/>
      <c r="P74" s="9">
        <v>3</v>
      </c>
    </row>
    <row r="75" spans="1:16">
      <c r="A75" s="31">
        <v>73</v>
      </c>
      <c r="B75" s="31" t="s">
        <v>5</v>
      </c>
      <c r="C75" s="31" t="s">
        <v>137</v>
      </c>
      <c r="D75" s="31">
        <v>1</v>
      </c>
      <c r="E75" s="31"/>
      <c r="F75" s="31">
        <v>2</v>
      </c>
      <c r="G75" s="31"/>
      <c r="H75" s="4"/>
      <c r="I75" s="4"/>
      <c r="J75" s="4"/>
      <c r="K75" s="4"/>
      <c r="L75" s="4"/>
      <c r="M75" s="4"/>
      <c r="N75" s="4"/>
      <c r="O75" s="4"/>
      <c r="P75" s="9">
        <v>3</v>
      </c>
    </row>
    <row r="76" spans="1:16">
      <c r="A76" s="31">
        <v>74</v>
      </c>
      <c r="B76" s="31" t="s">
        <v>5</v>
      </c>
      <c r="C76" s="31" t="s">
        <v>138</v>
      </c>
      <c r="D76" s="32"/>
      <c r="E76" s="31"/>
      <c r="F76" s="31"/>
      <c r="G76" s="31">
        <v>2</v>
      </c>
      <c r="H76" s="4"/>
      <c r="I76" s="4"/>
      <c r="J76" s="4"/>
      <c r="K76" s="4"/>
      <c r="L76" s="4"/>
      <c r="M76" s="4"/>
      <c r="N76" s="4"/>
      <c r="O76" s="4"/>
      <c r="P76" s="9">
        <v>2</v>
      </c>
    </row>
    <row r="77" spans="1:16">
      <c r="A77" s="31">
        <v>75</v>
      </c>
      <c r="B77" s="31" t="s">
        <v>5</v>
      </c>
      <c r="C77" s="31" t="s">
        <v>139</v>
      </c>
      <c r="D77" s="31">
        <v>2</v>
      </c>
      <c r="E77" s="31"/>
      <c r="F77" s="31"/>
      <c r="G77" s="31"/>
      <c r="H77" s="4"/>
      <c r="I77" s="4"/>
      <c r="J77" s="4"/>
      <c r="K77" s="4"/>
      <c r="L77" s="4"/>
      <c r="M77" s="4"/>
      <c r="N77" s="4"/>
      <c r="O77" s="4"/>
      <c r="P77" s="9">
        <v>2</v>
      </c>
    </row>
    <row r="78" spans="1:16">
      <c r="A78" s="31">
        <v>76</v>
      </c>
      <c r="B78" s="31" t="s">
        <v>5</v>
      </c>
      <c r="C78" s="9" t="s">
        <v>140</v>
      </c>
      <c r="D78" s="33"/>
      <c r="E78" s="9">
        <v>2</v>
      </c>
      <c r="F78" s="9"/>
      <c r="G78" s="9"/>
      <c r="H78" s="4"/>
      <c r="I78" s="4"/>
      <c r="J78" s="4"/>
      <c r="K78" s="4"/>
      <c r="L78" s="4"/>
      <c r="M78" s="4"/>
      <c r="N78" s="4"/>
      <c r="O78" s="4"/>
      <c r="P78" s="9">
        <v>2</v>
      </c>
    </row>
    <row r="79" spans="1:16">
      <c r="A79" s="31">
        <v>77</v>
      </c>
      <c r="B79" s="31" t="s">
        <v>5</v>
      </c>
      <c r="C79" s="31" t="s">
        <v>141</v>
      </c>
      <c r="D79" s="32"/>
      <c r="E79" s="31"/>
      <c r="F79" s="31">
        <v>2</v>
      </c>
      <c r="G79" s="31"/>
      <c r="H79" s="4"/>
      <c r="I79" s="4"/>
      <c r="J79" s="4"/>
      <c r="K79" s="4"/>
      <c r="L79" s="4"/>
      <c r="M79" s="4"/>
      <c r="N79" s="4"/>
      <c r="O79" s="4"/>
      <c r="P79" s="9">
        <v>2</v>
      </c>
    </row>
    <row r="80" spans="1:16">
      <c r="A80" s="31">
        <v>78</v>
      </c>
      <c r="B80" s="31" t="s">
        <v>5</v>
      </c>
      <c r="C80" s="31" t="s">
        <v>142</v>
      </c>
      <c r="D80" s="32"/>
      <c r="E80" s="31"/>
      <c r="F80" s="31"/>
      <c r="G80" s="31">
        <v>1</v>
      </c>
      <c r="H80" s="4"/>
      <c r="I80" s="4"/>
      <c r="J80" s="4"/>
      <c r="K80" s="4"/>
      <c r="L80" s="4"/>
      <c r="M80" s="4"/>
      <c r="N80" s="4"/>
      <c r="O80" s="4"/>
      <c r="P80" s="9">
        <v>2</v>
      </c>
    </row>
    <row r="81" spans="1:16">
      <c r="A81" s="9">
        <v>79</v>
      </c>
      <c r="B81" s="31" t="s">
        <v>5</v>
      </c>
      <c r="C81" s="31" t="s">
        <v>143</v>
      </c>
      <c r="D81" s="31">
        <v>1</v>
      </c>
      <c r="E81" s="31"/>
      <c r="F81" s="31"/>
      <c r="G81" s="31">
        <v>1</v>
      </c>
      <c r="H81" s="4"/>
      <c r="I81" s="4"/>
      <c r="J81" s="4"/>
      <c r="K81" s="4"/>
      <c r="L81" s="4"/>
      <c r="M81" s="4"/>
      <c r="N81" s="4"/>
      <c r="O81" s="4"/>
      <c r="P81" s="9">
        <v>2</v>
      </c>
    </row>
    <row r="82" spans="1:16">
      <c r="A82" s="31">
        <v>80</v>
      </c>
      <c r="B82" s="31" t="s">
        <v>5</v>
      </c>
      <c r="C82" s="31" t="s">
        <v>144</v>
      </c>
      <c r="D82" s="32"/>
      <c r="E82" s="31">
        <v>1</v>
      </c>
      <c r="F82" s="31"/>
      <c r="G82" s="31">
        <v>1</v>
      </c>
      <c r="H82" s="4"/>
      <c r="I82" s="4"/>
      <c r="J82" s="4"/>
      <c r="K82" s="4"/>
      <c r="L82" s="4"/>
      <c r="M82" s="4"/>
      <c r="N82" s="4"/>
      <c r="O82" s="4"/>
      <c r="P82" s="9">
        <v>2</v>
      </c>
    </row>
    <row r="83" spans="1:16">
      <c r="A83" s="31">
        <v>81</v>
      </c>
      <c r="B83" s="31" t="s">
        <v>5</v>
      </c>
      <c r="C83" s="31" t="s">
        <v>145</v>
      </c>
      <c r="D83" s="32"/>
      <c r="E83" s="31">
        <v>1</v>
      </c>
      <c r="F83" s="31"/>
      <c r="G83" s="31"/>
      <c r="H83" s="4"/>
      <c r="I83" s="4"/>
      <c r="J83" s="4"/>
      <c r="K83" s="4"/>
      <c r="L83" s="4"/>
      <c r="M83" s="4"/>
      <c r="N83" s="4"/>
      <c r="O83" s="4"/>
      <c r="P83" s="9">
        <v>2</v>
      </c>
    </row>
    <row r="84" spans="1:16">
      <c r="A84" s="31">
        <v>82</v>
      </c>
      <c r="B84" s="31" t="s">
        <v>5</v>
      </c>
      <c r="C84" s="31" t="s">
        <v>146</v>
      </c>
      <c r="D84" s="31">
        <v>1</v>
      </c>
      <c r="E84" s="31">
        <v>1</v>
      </c>
      <c r="F84" s="31"/>
      <c r="G84" s="31"/>
      <c r="H84" s="4"/>
      <c r="I84" s="4"/>
      <c r="J84" s="4"/>
      <c r="K84" s="4"/>
      <c r="L84" s="4"/>
      <c r="M84" s="4"/>
      <c r="N84" s="4"/>
      <c r="O84" s="4"/>
      <c r="P84" s="9">
        <v>2</v>
      </c>
    </row>
    <row r="85" spans="1:16">
      <c r="A85" s="31">
        <v>83</v>
      </c>
      <c r="B85" s="31" t="s">
        <v>5</v>
      </c>
      <c r="C85" s="31" t="s">
        <v>147</v>
      </c>
      <c r="D85" s="32"/>
      <c r="E85" s="31">
        <v>1</v>
      </c>
      <c r="F85" s="31"/>
      <c r="G85" s="31"/>
      <c r="H85" s="4"/>
      <c r="I85" s="4"/>
      <c r="J85" s="4"/>
      <c r="K85" s="4"/>
      <c r="L85" s="4"/>
      <c r="M85" s="4"/>
      <c r="N85" s="4"/>
      <c r="O85" s="4"/>
      <c r="P85" s="9">
        <v>1</v>
      </c>
    </row>
    <row r="86" spans="1:16">
      <c r="A86" s="31">
        <v>84</v>
      </c>
      <c r="B86" s="31" t="s">
        <v>5</v>
      </c>
      <c r="C86" s="31" t="s">
        <v>148</v>
      </c>
      <c r="D86" s="32"/>
      <c r="E86" s="31"/>
      <c r="F86" s="31">
        <v>1</v>
      </c>
      <c r="G86" s="31"/>
      <c r="H86" s="4"/>
      <c r="I86" s="4"/>
      <c r="J86" s="4"/>
      <c r="K86" s="4"/>
      <c r="L86" s="4"/>
      <c r="M86" s="4"/>
      <c r="N86" s="4"/>
      <c r="O86" s="4"/>
      <c r="P86" s="9">
        <v>1</v>
      </c>
    </row>
    <row r="87" spans="1:16">
      <c r="A87" s="31">
        <v>85</v>
      </c>
      <c r="B87" s="31" t="s">
        <v>5</v>
      </c>
      <c r="C87" s="31" t="s">
        <v>149</v>
      </c>
      <c r="D87" s="32"/>
      <c r="E87" s="31"/>
      <c r="F87" s="31"/>
      <c r="G87" s="31">
        <v>1</v>
      </c>
      <c r="H87" s="4"/>
      <c r="I87" s="4"/>
      <c r="J87" s="4"/>
      <c r="K87" s="4"/>
      <c r="L87" s="4"/>
      <c r="M87" s="4"/>
      <c r="N87" s="4"/>
      <c r="O87" s="4"/>
      <c r="P87" s="9">
        <v>1</v>
      </c>
    </row>
    <row r="88" spans="1:16">
      <c r="A88" s="31">
        <v>86</v>
      </c>
      <c r="B88" s="31" t="s">
        <v>5</v>
      </c>
      <c r="C88" s="31" t="s">
        <v>150</v>
      </c>
      <c r="D88" s="31">
        <v>1</v>
      </c>
      <c r="E88" s="31"/>
      <c r="F88" s="31"/>
      <c r="G88" s="31"/>
      <c r="H88" s="4"/>
      <c r="I88" s="4"/>
      <c r="J88" s="4"/>
      <c r="K88" s="4"/>
      <c r="L88" s="4"/>
      <c r="M88" s="4"/>
      <c r="N88" s="4"/>
      <c r="O88" s="4"/>
      <c r="P88" s="9">
        <v>1</v>
      </c>
    </row>
    <row r="89" spans="1:16">
      <c r="A89" s="31">
        <v>87</v>
      </c>
      <c r="B89" s="31" t="s">
        <v>5</v>
      </c>
      <c r="C89" s="31" t="s">
        <v>151</v>
      </c>
      <c r="D89" s="31">
        <v>1</v>
      </c>
      <c r="E89" s="31"/>
      <c r="F89" s="31"/>
      <c r="G89" s="31"/>
      <c r="H89" s="4"/>
      <c r="I89" s="4"/>
      <c r="J89" s="4"/>
      <c r="K89" s="4"/>
      <c r="L89" s="4"/>
      <c r="M89" s="4"/>
      <c r="N89" s="4"/>
      <c r="O89" s="4"/>
      <c r="P89" s="9">
        <v>1</v>
      </c>
    </row>
    <row r="90" spans="1:16">
      <c r="A90" s="31">
        <v>88</v>
      </c>
      <c r="B90" s="31" t="s">
        <v>5</v>
      </c>
      <c r="C90" s="31" t="s">
        <v>152</v>
      </c>
      <c r="D90" s="32"/>
      <c r="E90" s="31">
        <v>1</v>
      </c>
      <c r="F90" s="31"/>
      <c r="G90" s="31"/>
      <c r="H90" s="4"/>
      <c r="I90" s="4"/>
      <c r="J90" s="4"/>
      <c r="K90" s="4"/>
      <c r="L90" s="4"/>
      <c r="M90" s="4"/>
      <c r="N90" s="4"/>
      <c r="O90" s="4"/>
      <c r="P90" s="9">
        <v>1</v>
      </c>
    </row>
    <row r="91" spans="1:16">
      <c r="A91" s="31">
        <v>89</v>
      </c>
      <c r="B91" s="31" t="s">
        <v>5</v>
      </c>
      <c r="C91" s="31" t="s">
        <v>153</v>
      </c>
      <c r="D91" s="32"/>
      <c r="E91" s="31">
        <v>1</v>
      </c>
      <c r="F91" s="31"/>
      <c r="G91" s="31"/>
      <c r="H91" s="4"/>
      <c r="I91" s="4"/>
      <c r="J91" s="4"/>
      <c r="K91" s="4"/>
      <c r="L91" s="4"/>
      <c r="M91" s="4"/>
      <c r="N91" s="4"/>
      <c r="O91" s="4"/>
      <c r="P91" s="9">
        <v>1</v>
      </c>
    </row>
    <row r="92" spans="1:16">
      <c r="A92" s="31">
        <v>90</v>
      </c>
      <c r="B92" s="31" t="s">
        <v>5</v>
      </c>
      <c r="C92" s="31" t="s">
        <v>154</v>
      </c>
      <c r="D92" s="32"/>
      <c r="E92" s="31"/>
      <c r="F92" s="31">
        <v>1</v>
      </c>
      <c r="G92" s="31"/>
      <c r="H92" s="4"/>
      <c r="I92" s="4"/>
      <c r="J92" s="4"/>
      <c r="K92" s="4"/>
      <c r="L92" s="4"/>
      <c r="M92" s="4"/>
      <c r="N92" s="4"/>
      <c r="O92" s="4"/>
      <c r="P92" s="9">
        <v>1</v>
      </c>
    </row>
    <row r="93" spans="1:16">
      <c r="A93" s="31">
        <v>91</v>
      </c>
      <c r="B93" s="31" t="s">
        <v>5</v>
      </c>
      <c r="C93" s="31" t="s">
        <v>155</v>
      </c>
      <c r="D93" s="32"/>
      <c r="E93" s="31"/>
      <c r="F93" s="31"/>
      <c r="G93" s="31">
        <v>1</v>
      </c>
      <c r="H93" s="4"/>
      <c r="I93" s="4"/>
      <c r="J93" s="4"/>
      <c r="K93" s="4"/>
      <c r="L93" s="4"/>
      <c r="M93" s="4"/>
      <c r="N93" s="4"/>
      <c r="O93" s="4"/>
      <c r="P93" s="9">
        <v>1</v>
      </c>
    </row>
    <row r="94" spans="1:16">
      <c r="A94" s="31">
        <v>92</v>
      </c>
      <c r="B94" s="31" t="s">
        <v>5</v>
      </c>
      <c r="C94" s="31" t="s">
        <v>156</v>
      </c>
      <c r="D94" s="32"/>
      <c r="E94" s="31"/>
      <c r="F94" s="31">
        <v>1</v>
      </c>
      <c r="G94" s="31"/>
      <c r="H94" s="4"/>
      <c r="I94" s="4"/>
      <c r="J94" s="4"/>
      <c r="K94" s="4"/>
      <c r="L94" s="4"/>
      <c r="M94" s="4"/>
      <c r="N94" s="4"/>
      <c r="O94" s="4"/>
      <c r="P94" s="9">
        <v>1</v>
      </c>
    </row>
    <row r="95" spans="1:16">
      <c r="A95" s="31">
        <v>93</v>
      </c>
      <c r="B95" s="31" t="s">
        <v>5</v>
      </c>
      <c r="C95" s="31" t="s">
        <v>157</v>
      </c>
      <c r="D95" s="32"/>
      <c r="E95" s="31"/>
      <c r="F95" s="31">
        <v>1</v>
      </c>
      <c r="G95" s="31"/>
      <c r="H95" s="4"/>
      <c r="I95" s="4"/>
      <c r="J95" s="4"/>
      <c r="K95" s="4"/>
      <c r="L95" s="4"/>
      <c r="M95" s="4"/>
      <c r="N95" s="4"/>
      <c r="O95" s="4"/>
      <c r="P95" s="9">
        <v>1</v>
      </c>
    </row>
    <row r="96" spans="1:16">
      <c r="A96" s="31">
        <v>94</v>
      </c>
      <c r="B96" s="31" t="s">
        <v>5</v>
      </c>
      <c r="C96" s="31" t="s">
        <v>158</v>
      </c>
      <c r="D96" s="32"/>
      <c r="E96" s="31"/>
      <c r="F96" s="31">
        <v>1</v>
      </c>
      <c r="G96" s="31"/>
      <c r="H96" s="4"/>
      <c r="I96" s="4"/>
      <c r="J96" s="4"/>
      <c r="K96" s="4"/>
      <c r="L96" s="4"/>
      <c r="M96" s="4"/>
      <c r="N96" s="4"/>
      <c r="O96" s="4"/>
      <c r="P96" s="9">
        <v>1</v>
      </c>
    </row>
    <row r="97" spans="1:16">
      <c r="A97" s="31">
        <v>95</v>
      </c>
      <c r="B97" s="31" t="s">
        <v>5</v>
      </c>
      <c r="C97" s="31" t="s">
        <v>159</v>
      </c>
      <c r="D97" s="32"/>
      <c r="E97" s="31"/>
      <c r="F97" s="31">
        <v>1</v>
      </c>
      <c r="G97" s="31"/>
      <c r="H97" s="4"/>
      <c r="I97" s="4"/>
      <c r="J97" s="4"/>
      <c r="K97" s="4"/>
      <c r="L97" s="4"/>
      <c r="M97" s="4"/>
      <c r="N97" s="4"/>
      <c r="O97" s="4"/>
      <c r="P97" s="9">
        <v>1</v>
      </c>
    </row>
  </sheetData>
  <mergeCells count="4">
    <mergeCell ref="A1:A2"/>
    <mergeCell ref="C1:C2"/>
    <mergeCell ref="B1:B2"/>
    <mergeCell ref="D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0C64D-033D-4091-A9D8-23312AEF034C}">
  <dimension ref="A1:F98"/>
  <sheetViews>
    <sheetView workbookViewId="0">
      <selection activeCell="G12" sqref="G12"/>
    </sheetView>
  </sheetViews>
  <sheetFormatPr defaultRowHeight="15"/>
  <cols>
    <col min="2" max="2" width="15.140625" customWidth="1"/>
  </cols>
  <sheetData>
    <row r="1" spans="1:6">
      <c r="A1" s="38" t="s">
        <v>61</v>
      </c>
      <c r="B1" s="38" t="s">
        <v>62</v>
      </c>
      <c r="C1" s="40" t="s">
        <v>49</v>
      </c>
      <c r="D1" s="40"/>
      <c r="E1" s="40"/>
      <c r="F1" s="40"/>
    </row>
    <row r="2" spans="1:6">
      <c r="A2" s="38"/>
      <c r="B2" s="38"/>
      <c r="C2" s="29" t="s">
        <v>52</v>
      </c>
      <c r="D2" s="30" t="s">
        <v>53</v>
      </c>
      <c r="E2" s="30" t="s">
        <v>63</v>
      </c>
      <c r="F2" s="30" t="s">
        <v>64</v>
      </c>
    </row>
    <row r="3" spans="1:6">
      <c r="A3" s="31">
        <v>1</v>
      </c>
      <c r="B3" s="31"/>
      <c r="C3" s="31"/>
      <c r="D3" s="31"/>
      <c r="E3" s="31"/>
      <c r="F3" s="31"/>
    </row>
    <row r="4" spans="1:6">
      <c r="A4" s="31">
        <v>2</v>
      </c>
      <c r="B4" s="31"/>
      <c r="C4" s="31"/>
      <c r="D4" s="31"/>
      <c r="E4" s="31"/>
      <c r="F4" s="31"/>
    </row>
    <row r="5" spans="1:6">
      <c r="A5" s="31">
        <v>3</v>
      </c>
      <c r="B5" s="31"/>
      <c r="C5" s="31"/>
      <c r="D5" s="31"/>
      <c r="E5" s="31"/>
      <c r="F5" s="31"/>
    </row>
    <row r="6" spans="1:6">
      <c r="A6" s="31">
        <v>4</v>
      </c>
      <c r="B6" s="31"/>
      <c r="C6" s="31"/>
      <c r="D6" s="31"/>
      <c r="E6" s="31"/>
      <c r="F6" s="31"/>
    </row>
    <row r="7" spans="1:6">
      <c r="A7" s="31">
        <v>5</v>
      </c>
      <c r="B7" s="31"/>
      <c r="C7" s="31"/>
      <c r="D7" s="31"/>
      <c r="E7" s="31"/>
      <c r="F7" s="31"/>
    </row>
    <row r="8" spans="1:6">
      <c r="A8" s="31">
        <v>6</v>
      </c>
      <c r="B8" s="31"/>
      <c r="C8" s="31"/>
      <c r="D8" s="31"/>
      <c r="E8" s="31"/>
      <c r="F8" s="31"/>
    </row>
    <row r="9" spans="1:6">
      <c r="A9" s="31">
        <v>7</v>
      </c>
      <c r="B9" s="31"/>
      <c r="C9" s="31"/>
      <c r="D9" s="31"/>
      <c r="E9" s="31"/>
      <c r="F9" s="31"/>
    </row>
    <row r="10" spans="1:6">
      <c r="A10" s="31">
        <v>8</v>
      </c>
      <c r="B10" s="31"/>
      <c r="C10" s="31"/>
      <c r="D10" s="31"/>
      <c r="E10" s="31"/>
      <c r="F10" s="31"/>
    </row>
    <row r="11" spans="1:6">
      <c r="A11" s="31">
        <v>9</v>
      </c>
      <c r="B11" s="31"/>
      <c r="C11" s="31"/>
      <c r="D11" s="31"/>
      <c r="E11" s="31"/>
      <c r="F11" s="31"/>
    </row>
    <row r="12" spans="1:6">
      <c r="A12" s="31">
        <v>10</v>
      </c>
      <c r="B12" s="31"/>
      <c r="C12" s="31"/>
      <c r="D12" s="31"/>
      <c r="E12" s="31"/>
      <c r="F12" s="31"/>
    </row>
    <row r="13" spans="1:6">
      <c r="A13" s="31">
        <v>11</v>
      </c>
      <c r="B13" s="31"/>
      <c r="C13" s="31"/>
      <c r="D13" s="31"/>
      <c r="E13" s="31"/>
      <c r="F13" s="31"/>
    </row>
    <row r="14" spans="1:6">
      <c r="A14" s="31">
        <v>12</v>
      </c>
      <c r="B14" s="31"/>
      <c r="C14" s="31"/>
      <c r="D14" s="31"/>
      <c r="E14" s="31"/>
      <c r="F14" s="31"/>
    </row>
    <row r="15" spans="1:6">
      <c r="A15" s="31">
        <v>13</v>
      </c>
      <c r="B15" s="31"/>
      <c r="C15" s="31"/>
      <c r="D15" s="31"/>
      <c r="E15" s="31"/>
      <c r="F15" s="31"/>
    </row>
    <row r="16" spans="1:6">
      <c r="A16" s="31">
        <v>14</v>
      </c>
      <c r="B16" s="31"/>
      <c r="C16" s="31"/>
      <c r="D16" s="31"/>
      <c r="E16" s="31"/>
      <c r="F16" s="31"/>
    </row>
    <row r="17" spans="1:6">
      <c r="A17" s="31">
        <v>15</v>
      </c>
      <c r="B17" s="31"/>
      <c r="C17" s="31"/>
      <c r="D17" s="31"/>
      <c r="E17" s="31"/>
      <c r="F17" s="31"/>
    </row>
    <row r="18" spans="1:6">
      <c r="A18" s="31">
        <v>16</v>
      </c>
      <c r="B18" s="31"/>
      <c r="C18" s="31"/>
      <c r="D18" s="31"/>
      <c r="E18" s="31"/>
      <c r="F18" s="31"/>
    </row>
    <row r="19" spans="1:6">
      <c r="A19" s="31">
        <v>17</v>
      </c>
      <c r="B19" s="31"/>
      <c r="C19" s="31"/>
      <c r="D19" s="31"/>
      <c r="E19" s="31"/>
      <c r="F19" s="31"/>
    </row>
    <row r="20" spans="1:6">
      <c r="A20" s="31">
        <v>18</v>
      </c>
      <c r="B20" s="31"/>
      <c r="C20" s="31"/>
      <c r="D20" s="31"/>
      <c r="E20" s="31"/>
      <c r="F20" s="31"/>
    </row>
    <row r="21" spans="1:6">
      <c r="A21" s="31">
        <v>19</v>
      </c>
      <c r="B21" s="31"/>
      <c r="C21" s="31"/>
      <c r="D21" s="31"/>
      <c r="E21" s="31"/>
      <c r="F21" s="31"/>
    </row>
    <row r="22" spans="1:6">
      <c r="A22" s="31">
        <v>20</v>
      </c>
      <c r="B22" s="31"/>
      <c r="C22" s="31"/>
      <c r="D22" s="31"/>
      <c r="E22" s="31"/>
      <c r="F22" s="31"/>
    </row>
    <row r="23" spans="1:6">
      <c r="A23" s="31">
        <v>21</v>
      </c>
      <c r="B23" s="31"/>
      <c r="C23" s="31"/>
      <c r="D23" s="31"/>
      <c r="E23" s="31"/>
      <c r="F23" s="31"/>
    </row>
    <row r="24" spans="1:6">
      <c r="A24" s="31">
        <v>22</v>
      </c>
      <c r="B24" s="31"/>
      <c r="C24" s="31"/>
      <c r="D24" s="31"/>
      <c r="E24" s="31"/>
      <c r="F24" s="31"/>
    </row>
    <row r="25" spans="1:6">
      <c r="A25" s="31">
        <v>23</v>
      </c>
      <c r="B25" s="31"/>
      <c r="C25" s="31"/>
      <c r="D25" s="31"/>
      <c r="E25" s="31"/>
      <c r="F25" s="31"/>
    </row>
    <row r="26" spans="1:6">
      <c r="A26" s="31">
        <v>24</v>
      </c>
      <c r="B26" s="31"/>
      <c r="C26" s="31"/>
      <c r="D26" s="31"/>
      <c r="E26" s="31"/>
      <c r="F26" s="31"/>
    </row>
    <row r="27" spans="1:6">
      <c r="A27" s="31">
        <v>25</v>
      </c>
      <c r="B27" s="31"/>
      <c r="C27" s="31"/>
      <c r="D27" s="31"/>
      <c r="E27" s="31"/>
      <c r="F27" s="31"/>
    </row>
    <row r="28" spans="1:6">
      <c r="A28" s="31">
        <v>26</v>
      </c>
      <c r="B28" s="31"/>
      <c r="C28" s="31"/>
      <c r="D28" s="31"/>
      <c r="E28" s="31"/>
      <c r="F28" s="31"/>
    </row>
    <row r="29" spans="1:6">
      <c r="A29" s="31">
        <v>27</v>
      </c>
      <c r="B29" s="31"/>
      <c r="C29" s="31"/>
      <c r="D29" s="31"/>
      <c r="E29" s="31"/>
      <c r="F29" s="31"/>
    </row>
    <row r="30" spans="1:6">
      <c r="A30" s="31">
        <v>28</v>
      </c>
      <c r="B30" s="31"/>
      <c r="C30" s="31"/>
      <c r="D30" s="31"/>
      <c r="E30" s="31"/>
      <c r="F30" s="31"/>
    </row>
    <row r="31" spans="1:6">
      <c r="A31" s="31">
        <v>29</v>
      </c>
      <c r="B31" s="31"/>
      <c r="C31" s="31"/>
      <c r="D31" s="31"/>
      <c r="E31" s="31"/>
      <c r="F31" s="31"/>
    </row>
    <row r="32" spans="1:6">
      <c r="A32" s="31">
        <v>30</v>
      </c>
      <c r="B32" s="31"/>
      <c r="C32" s="31"/>
      <c r="D32" s="31"/>
      <c r="E32" s="31"/>
      <c r="F32" s="31"/>
    </row>
    <row r="33" spans="1:6">
      <c r="A33" s="31">
        <v>31</v>
      </c>
      <c r="B33" s="31"/>
      <c r="C33" s="31"/>
      <c r="D33" s="31"/>
      <c r="E33" s="31"/>
      <c r="F33" s="31"/>
    </row>
    <row r="34" spans="1:6">
      <c r="A34" s="31">
        <v>32</v>
      </c>
      <c r="B34" s="31"/>
      <c r="C34" s="31"/>
      <c r="D34" s="31"/>
      <c r="E34" s="31"/>
      <c r="F34" s="31"/>
    </row>
    <row r="35" spans="1:6">
      <c r="A35" s="31">
        <v>33</v>
      </c>
      <c r="B35" s="31"/>
      <c r="C35" s="31"/>
      <c r="D35" s="31"/>
      <c r="E35" s="31"/>
      <c r="F35" s="31"/>
    </row>
    <row r="36" spans="1:6">
      <c r="A36" s="31">
        <v>34</v>
      </c>
      <c r="B36" s="31"/>
      <c r="C36" s="31"/>
      <c r="D36" s="31"/>
      <c r="E36" s="31"/>
      <c r="F36" s="31"/>
    </row>
    <row r="37" spans="1:6">
      <c r="A37" s="31">
        <v>35</v>
      </c>
      <c r="B37" s="31"/>
      <c r="C37" s="31"/>
      <c r="D37" s="31"/>
      <c r="E37" s="31"/>
      <c r="F37" s="31"/>
    </row>
    <row r="38" spans="1:6">
      <c r="A38" s="31">
        <v>36</v>
      </c>
      <c r="B38" s="31"/>
      <c r="C38" s="31"/>
      <c r="D38" s="31"/>
      <c r="E38" s="31"/>
      <c r="F38" s="31"/>
    </row>
    <row r="39" spans="1:6">
      <c r="A39" s="31">
        <v>37</v>
      </c>
      <c r="B39" s="31"/>
      <c r="C39" s="31"/>
      <c r="D39" s="31"/>
      <c r="E39" s="31"/>
      <c r="F39" s="31"/>
    </row>
    <row r="40" spans="1:6">
      <c r="A40" s="31">
        <v>38</v>
      </c>
      <c r="B40" s="31"/>
      <c r="C40" s="31"/>
      <c r="D40" s="31"/>
      <c r="E40" s="31"/>
      <c r="F40" s="31"/>
    </row>
    <row r="41" spans="1:6">
      <c r="A41" s="31">
        <v>39</v>
      </c>
      <c r="B41" s="31"/>
      <c r="C41" s="31"/>
      <c r="D41" s="31"/>
      <c r="E41" s="31"/>
      <c r="F41" s="31"/>
    </row>
    <row r="42" spans="1:6">
      <c r="A42" s="31">
        <v>40</v>
      </c>
      <c r="B42" s="31"/>
      <c r="C42" s="31"/>
      <c r="D42" s="31"/>
      <c r="E42" s="31"/>
      <c r="F42" s="31"/>
    </row>
    <row r="43" spans="1:6">
      <c r="A43" s="31">
        <v>41</v>
      </c>
      <c r="B43" s="31"/>
      <c r="C43" s="31"/>
      <c r="D43" s="31"/>
      <c r="E43" s="31"/>
      <c r="F43" s="31"/>
    </row>
    <row r="44" spans="1:6">
      <c r="A44" s="31">
        <v>42</v>
      </c>
      <c r="B44" s="31"/>
      <c r="C44" s="31"/>
      <c r="D44" s="31"/>
      <c r="E44" s="31"/>
      <c r="F44" s="31"/>
    </row>
    <row r="45" spans="1:6">
      <c r="A45" s="31">
        <v>43</v>
      </c>
      <c r="B45" s="31"/>
      <c r="C45" s="31"/>
      <c r="D45" s="31"/>
      <c r="E45" s="31"/>
      <c r="F45" s="31"/>
    </row>
    <row r="46" spans="1:6">
      <c r="A46" s="31">
        <v>44</v>
      </c>
      <c r="B46" s="31"/>
      <c r="C46" s="31"/>
      <c r="D46" s="31"/>
      <c r="E46" s="31"/>
      <c r="F46" s="31"/>
    </row>
    <row r="47" spans="1:6">
      <c r="A47" s="31">
        <v>45</v>
      </c>
      <c r="B47" s="31"/>
      <c r="C47" s="31"/>
      <c r="D47" s="31"/>
      <c r="E47" s="31"/>
      <c r="F47" s="31"/>
    </row>
    <row r="48" spans="1:6">
      <c r="A48" s="31">
        <v>46</v>
      </c>
      <c r="B48" s="31"/>
      <c r="C48" s="31"/>
      <c r="D48" s="31"/>
      <c r="E48" s="31"/>
      <c r="F48" s="31"/>
    </row>
    <row r="49" spans="1:6">
      <c r="A49" s="31">
        <v>47</v>
      </c>
      <c r="B49" s="31"/>
      <c r="C49" s="31"/>
      <c r="D49" s="31"/>
      <c r="E49" s="31"/>
      <c r="F49" s="31"/>
    </row>
    <row r="50" spans="1:6">
      <c r="A50" s="31">
        <v>48</v>
      </c>
      <c r="B50" s="31"/>
      <c r="C50" s="31"/>
      <c r="D50" s="31"/>
      <c r="E50" s="31"/>
      <c r="F50" s="31"/>
    </row>
    <row r="51" spans="1:6">
      <c r="A51" s="31">
        <v>49</v>
      </c>
      <c r="B51" s="31"/>
      <c r="C51" s="31"/>
      <c r="D51" s="31"/>
      <c r="E51" s="31"/>
      <c r="F51" s="31"/>
    </row>
    <row r="52" spans="1:6">
      <c r="A52" s="31">
        <v>50</v>
      </c>
      <c r="B52" s="31"/>
      <c r="C52" s="31"/>
      <c r="D52" s="31"/>
      <c r="E52" s="31"/>
      <c r="F52" s="31"/>
    </row>
    <row r="53" spans="1:6">
      <c r="A53" s="31">
        <v>51</v>
      </c>
      <c r="B53" s="31"/>
      <c r="C53" s="31"/>
      <c r="D53" s="31"/>
      <c r="E53" s="31"/>
      <c r="F53" s="31"/>
    </row>
    <row r="54" spans="1:6">
      <c r="A54" s="31">
        <v>52</v>
      </c>
      <c r="B54" s="31"/>
      <c r="C54" s="31"/>
      <c r="D54" s="31"/>
      <c r="E54" s="31"/>
      <c r="F54" s="31"/>
    </row>
    <row r="55" spans="1:6">
      <c r="A55" s="31">
        <v>53</v>
      </c>
      <c r="B55" s="31"/>
      <c r="C55" s="31"/>
      <c r="D55" s="31"/>
      <c r="E55" s="31"/>
      <c r="F55" s="31"/>
    </row>
    <row r="56" spans="1:6">
      <c r="A56" s="31">
        <v>54</v>
      </c>
      <c r="B56" s="31"/>
      <c r="C56" s="31"/>
      <c r="D56" s="31"/>
      <c r="E56" s="31"/>
      <c r="F56" s="31"/>
    </row>
    <row r="57" spans="1:6">
      <c r="A57" s="31">
        <v>55</v>
      </c>
      <c r="B57" s="31"/>
      <c r="C57" s="31"/>
      <c r="D57" s="31"/>
      <c r="E57" s="31"/>
      <c r="F57" s="31"/>
    </row>
    <row r="58" spans="1:6">
      <c r="A58" s="31">
        <v>56</v>
      </c>
      <c r="B58" s="31"/>
      <c r="C58" s="32"/>
      <c r="D58" s="31"/>
      <c r="E58" s="31"/>
      <c r="F58" s="31"/>
    </row>
    <row r="59" spans="1:6">
      <c r="A59" s="31">
        <v>57</v>
      </c>
      <c r="B59" s="31"/>
      <c r="C59" s="31"/>
      <c r="D59" s="31"/>
      <c r="E59" s="31"/>
      <c r="F59" s="31"/>
    </row>
    <row r="60" spans="1:6">
      <c r="A60" s="31">
        <v>58</v>
      </c>
      <c r="B60" s="31"/>
      <c r="C60" s="31"/>
      <c r="D60" s="31"/>
      <c r="E60" s="31"/>
      <c r="F60" s="31"/>
    </row>
    <row r="61" spans="1:6">
      <c r="A61" s="31">
        <v>59</v>
      </c>
      <c r="B61" s="31"/>
      <c r="C61" s="31"/>
      <c r="D61" s="31"/>
      <c r="E61" s="31"/>
      <c r="F61" s="31"/>
    </row>
    <row r="62" spans="1:6">
      <c r="A62" s="31">
        <v>60</v>
      </c>
      <c r="B62" s="31"/>
      <c r="C62" s="32"/>
      <c r="D62" s="31"/>
      <c r="E62" s="31"/>
      <c r="F62" s="31"/>
    </row>
    <row r="63" spans="1:6">
      <c r="A63" s="31">
        <v>61</v>
      </c>
      <c r="B63" s="31"/>
      <c r="C63" s="31"/>
      <c r="D63" s="31"/>
      <c r="E63" s="31"/>
      <c r="F63" s="31"/>
    </row>
    <row r="64" spans="1:6">
      <c r="A64" s="31">
        <v>62</v>
      </c>
      <c r="B64" s="31"/>
      <c r="C64" s="31"/>
      <c r="D64" s="31"/>
      <c r="E64" s="31"/>
      <c r="F64" s="31"/>
    </row>
    <row r="65" spans="1:6">
      <c r="A65" s="31">
        <v>63</v>
      </c>
      <c r="B65" s="31"/>
      <c r="C65" s="31"/>
      <c r="D65" s="31"/>
      <c r="E65" s="31"/>
      <c r="F65" s="31"/>
    </row>
    <row r="66" spans="1:6">
      <c r="A66" s="31">
        <v>64</v>
      </c>
      <c r="B66" s="31"/>
      <c r="C66" s="31"/>
      <c r="D66" s="31"/>
      <c r="E66" s="31"/>
      <c r="F66" s="31"/>
    </row>
    <row r="67" spans="1:6">
      <c r="A67" s="31">
        <v>65</v>
      </c>
      <c r="B67" s="31"/>
      <c r="C67" s="31"/>
      <c r="D67" s="31"/>
      <c r="E67" s="31"/>
      <c r="F67" s="31"/>
    </row>
    <row r="68" spans="1:6">
      <c r="A68" s="31">
        <v>66</v>
      </c>
      <c r="B68" s="31"/>
      <c r="C68" s="31"/>
      <c r="D68" s="31"/>
      <c r="E68" s="31"/>
      <c r="F68" s="31"/>
    </row>
    <row r="69" spans="1:6">
      <c r="A69" s="31">
        <v>67</v>
      </c>
      <c r="B69" s="31"/>
      <c r="C69" s="31"/>
      <c r="D69" s="31"/>
      <c r="E69" s="31"/>
      <c r="F69" s="31"/>
    </row>
    <row r="70" spans="1:6">
      <c r="A70" s="31">
        <v>68</v>
      </c>
      <c r="B70" s="31"/>
      <c r="C70" s="31"/>
      <c r="D70" s="31"/>
      <c r="E70" s="31"/>
      <c r="F70" s="31"/>
    </row>
    <row r="71" spans="1:6">
      <c r="A71" s="31">
        <v>69</v>
      </c>
      <c r="B71" s="31"/>
      <c r="C71" s="31"/>
      <c r="D71" s="31"/>
      <c r="E71" s="31"/>
      <c r="F71" s="31"/>
    </row>
    <row r="72" spans="1:6">
      <c r="A72" s="31">
        <v>70</v>
      </c>
      <c r="B72" s="31"/>
      <c r="C72" s="32"/>
      <c r="D72" s="31"/>
      <c r="E72" s="31"/>
      <c r="F72" s="31"/>
    </row>
    <row r="73" spans="1:6">
      <c r="A73" s="31">
        <v>71</v>
      </c>
      <c r="B73" s="31"/>
      <c r="C73" s="31"/>
      <c r="D73" s="31"/>
      <c r="E73" s="31"/>
      <c r="F73" s="31"/>
    </row>
    <row r="74" spans="1:6">
      <c r="A74" s="31">
        <v>72</v>
      </c>
      <c r="B74" s="31"/>
      <c r="C74" s="31"/>
      <c r="D74" s="31"/>
      <c r="E74" s="31"/>
      <c r="F74" s="31"/>
    </row>
    <row r="75" spans="1:6">
      <c r="A75" s="31">
        <v>73</v>
      </c>
      <c r="B75" s="31"/>
      <c r="C75" s="31"/>
      <c r="D75" s="31"/>
      <c r="E75" s="31"/>
      <c r="F75" s="31"/>
    </row>
    <row r="76" spans="1:6">
      <c r="A76" s="31">
        <v>74</v>
      </c>
      <c r="B76" s="31"/>
      <c r="C76" s="32"/>
      <c r="D76" s="31"/>
      <c r="E76" s="31"/>
      <c r="F76" s="31"/>
    </row>
    <row r="77" spans="1:6">
      <c r="A77" s="31">
        <v>75</v>
      </c>
      <c r="B77" s="31"/>
      <c r="C77" s="31"/>
      <c r="D77" s="31"/>
      <c r="E77" s="31"/>
      <c r="F77" s="31"/>
    </row>
    <row r="78" spans="1:6">
      <c r="A78" s="31">
        <v>76</v>
      </c>
      <c r="B78" s="9"/>
      <c r="C78" s="33"/>
      <c r="D78" s="9"/>
      <c r="E78" s="9"/>
      <c r="F78" s="9"/>
    </row>
    <row r="79" spans="1:6">
      <c r="A79" s="31">
        <v>77</v>
      </c>
      <c r="B79" s="31"/>
      <c r="C79" s="32"/>
      <c r="D79" s="31"/>
      <c r="E79" s="31"/>
      <c r="F79" s="31"/>
    </row>
    <row r="80" spans="1:6">
      <c r="A80" s="31">
        <v>78</v>
      </c>
      <c r="B80" s="31"/>
      <c r="C80" s="32"/>
      <c r="D80" s="31"/>
      <c r="E80" s="31"/>
      <c r="F80" s="31"/>
    </row>
    <row r="81" spans="1:6">
      <c r="A81" s="9">
        <v>79</v>
      </c>
      <c r="B81" s="31"/>
      <c r="C81" s="31"/>
      <c r="D81" s="31"/>
      <c r="E81" s="31"/>
      <c r="F81" s="31"/>
    </row>
    <row r="82" spans="1:6">
      <c r="A82" s="31">
        <v>80</v>
      </c>
      <c r="B82" s="31"/>
      <c r="C82" s="32"/>
      <c r="D82" s="31"/>
      <c r="E82" s="31"/>
      <c r="F82" s="31"/>
    </row>
    <row r="83" spans="1:6">
      <c r="A83" s="31">
        <v>81</v>
      </c>
      <c r="B83" s="31"/>
      <c r="C83" s="32"/>
      <c r="D83" s="31"/>
      <c r="E83" s="31"/>
      <c r="F83" s="31"/>
    </row>
    <row r="84" spans="1:6">
      <c r="A84" s="31">
        <v>82</v>
      </c>
      <c r="B84" s="31"/>
      <c r="C84" s="31"/>
      <c r="D84" s="31"/>
      <c r="E84" s="31"/>
      <c r="F84" s="31"/>
    </row>
    <row r="85" spans="1:6">
      <c r="A85" s="31">
        <v>83</v>
      </c>
      <c r="B85" s="31"/>
      <c r="C85" s="32"/>
      <c r="D85" s="31"/>
      <c r="E85" s="31"/>
      <c r="F85" s="31"/>
    </row>
    <row r="86" spans="1:6">
      <c r="A86" s="31">
        <v>84</v>
      </c>
      <c r="B86" s="31"/>
      <c r="C86" s="32"/>
      <c r="D86" s="31"/>
      <c r="E86" s="31"/>
      <c r="F86" s="31"/>
    </row>
    <row r="87" spans="1:6">
      <c r="A87" s="31">
        <v>85</v>
      </c>
      <c r="B87" s="31"/>
      <c r="C87" s="32"/>
      <c r="D87" s="31"/>
      <c r="E87" s="31"/>
      <c r="F87" s="31"/>
    </row>
    <row r="88" spans="1:6">
      <c r="A88" s="31">
        <v>86</v>
      </c>
      <c r="B88" s="31"/>
      <c r="C88" s="31"/>
      <c r="D88" s="31"/>
      <c r="E88" s="31"/>
      <c r="F88" s="31"/>
    </row>
    <row r="89" spans="1:6">
      <c r="A89" s="31">
        <v>87</v>
      </c>
      <c r="B89" s="31"/>
      <c r="C89" s="31"/>
      <c r="D89" s="31"/>
      <c r="E89" s="31"/>
      <c r="F89" s="31"/>
    </row>
    <row r="90" spans="1:6">
      <c r="A90" s="31">
        <v>88</v>
      </c>
      <c r="B90" s="31"/>
      <c r="C90" s="32"/>
      <c r="D90" s="31"/>
      <c r="E90" s="31"/>
      <c r="F90" s="31"/>
    </row>
    <row r="91" spans="1:6">
      <c r="A91" s="31">
        <v>89</v>
      </c>
      <c r="B91" s="31"/>
      <c r="C91" s="32"/>
      <c r="D91" s="31"/>
      <c r="E91" s="31"/>
      <c r="F91" s="31"/>
    </row>
    <row r="92" spans="1:6">
      <c r="A92" s="31">
        <v>90</v>
      </c>
      <c r="B92" s="31"/>
      <c r="C92" s="32"/>
      <c r="D92" s="31"/>
      <c r="E92" s="31"/>
      <c r="F92" s="31"/>
    </row>
    <row r="93" spans="1:6">
      <c r="A93" s="31">
        <v>91</v>
      </c>
      <c r="B93" s="31"/>
      <c r="C93" s="32"/>
      <c r="D93" s="31"/>
      <c r="E93" s="31"/>
      <c r="F93" s="31"/>
    </row>
    <row r="94" spans="1:6">
      <c r="A94" s="31">
        <v>92</v>
      </c>
      <c r="B94" s="31"/>
      <c r="C94" s="32"/>
      <c r="D94" s="31"/>
      <c r="E94" s="31"/>
      <c r="F94" s="31"/>
    </row>
    <row r="95" spans="1:6">
      <c r="A95" s="31">
        <v>93</v>
      </c>
      <c r="B95" s="31"/>
      <c r="C95" s="32"/>
      <c r="D95" s="31"/>
      <c r="E95" s="31"/>
      <c r="F95" s="31"/>
    </row>
    <row r="96" spans="1:6">
      <c r="A96" s="31">
        <v>94</v>
      </c>
      <c r="B96" s="31"/>
      <c r="C96" s="32"/>
      <c r="D96" s="31"/>
      <c r="E96" s="31"/>
      <c r="F96" s="31"/>
    </row>
    <row r="97" spans="1:6">
      <c r="A97" s="31">
        <v>95</v>
      </c>
      <c r="B97" s="31"/>
      <c r="C97" s="32"/>
      <c r="D97" s="31"/>
      <c r="E97" s="31"/>
      <c r="F97" s="31"/>
    </row>
    <row r="98" spans="1:6">
      <c r="A98" s="9"/>
      <c r="B98" s="9" t="s">
        <v>48</v>
      </c>
      <c r="C98" s="9">
        <f ca="1">SUM($C$6:$C$100)</f>
        <v>2526</v>
      </c>
      <c r="D98" s="9">
        <f ca="1">SUM($D$6:$D$100)</f>
        <v>2509</v>
      </c>
      <c r="E98" s="9">
        <f ca="1">SUM($E$6:$E$100)</f>
        <v>2769</v>
      </c>
      <c r="F98" s="9">
        <f ca="1">SUM($F$6:$F$100)</f>
        <v>2960</v>
      </c>
    </row>
  </sheetData>
  <mergeCells count="3">
    <mergeCell ref="A1:A2"/>
    <mergeCell ref="B1:B2"/>
    <mergeCell ref="C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620F5-D060-4193-B883-86051F8370AD}">
  <dimension ref="A1:F98"/>
  <sheetViews>
    <sheetView workbookViewId="0">
      <selection activeCell="G12" sqref="G12"/>
    </sheetView>
  </sheetViews>
  <sheetFormatPr defaultRowHeight="15"/>
  <cols>
    <col min="2" max="2" width="15.140625" customWidth="1"/>
  </cols>
  <sheetData>
    <row r="1" spans="1:6">
      <c r="A1" s="38" t="s">
        <v>61</v>
      </c>
      <c r="B1" s="38" t="s">
        <v>62</v>
      </c>
      <c r="C1" s="40" t="s">
        <v>49</v>
      </c>
      <c r="D1" s="40"/>
      <c r="E1" s="40"/>
      <c r="F1" s="40"/>
    </row>
    <row r="2" spans="1:6">
      <c r="A2" s="38"/>
      <c r="B2" s="38"/>
      <c r="C2" s="29" t="s">
        <v>52</v>
      </c>
      <c r="D2" s="30" t="s">
        <v>53</v>
      </c>
      <c r="E2" s="30" t="s">
        <v>63</v>
      </c>
      <c r="F2" s="30" t="s">
        <v>64</v>
      </c>
    </row>
    <row r="3" spans="1:6">
      <c r="A3" s="31">
        <v>1</v>
      </c>
      <c r="B3" s="31"/>
      <c r="C3" s="31"/>
      <c r="D3" s="31"/>
      <c r="E3" s="31"/>
      <c r="F3" s="31"/>
    </row>
    <row r="4" spans="1:6">
      <c r="A4" s="31">
        <v>2</v>
      </c>
      <c r="B4" s="31"/>
      <c r="C4" s="31"/>
      <c r="D4" s="31"/>
      <c r="E4" s="31"/>
      <c r="F4" s="31"/>
    </row>
    <row r="5" spans="1:6">
      <c r="A5" s="31">
        <v>3</v>
      </c>
      <c r="B5" s="31"/>
      <c r="C5" s="31"/>
      <c r="D5" s="31"/>
      <c r="E5" s="31"/>
      <c r="F5" s="31"/>
    </row>
    <row r="6" spans="1:6">
      <c r="A6" s="31">
        <v>4</v>
      </c>
      <c r="B6" s="31"/>
      <c r="C6" s="31"/>
      <c r="D6" s="31"/>
      <c r="E6" s="31"/>
      <c r="F6" s="31"/>
    </row>
    <row r="7" spans="1:6">
      <c r="A7" s="31">
        <v>5</v>
      </c>
      <c r="B7" s="31"/>
      <c r="C7" s="31"/>
      <c r="D7" s="31"/>
      <c r="E7" s="31"/>
      <c r="F7" s="31"/>
    </row>
    <row r="8" spans="1:6">
      <c r="A8" s="31">
        <v>6</v>
      </c>
      <c r="B8" s="31"/>
      <c r="C8" s="31"/>
      <c r="D8" s="31"/>
      <c r="E8" s="31"/>
      <c r="F8" s="31"/>
    </row>
    <row r="9" spans="1:6">
      <c r="A9" s="31">
        <v>7</v>
      </c>
      <c r="B9" s="31"/>
      <c r="C9" s="31"/>
      <c r="D9" s="31"/>
      <c r="E9" s="31"/>
      <c r="F9" s="31"/>
    </row>
    <row r="10" spans="1:6">
      <c r="A10" s="31">
        <v>8</v>
      </c>
      <c r="B10" s="31"/>
      <c r="C10" s="31"/>
      <c r="D10" s="31"/>
      <c r="E10" s="31"/>
      <c r="F10" s="31"/>
    </row>
    <row r="11" spans="1:6">
      <c r="A11" s="31">
        <v>9</v>
      </c>
      <c r="B11" s="31"/>
      <c r="C11" s="31"/>
      <c r="D11" s="31"/>
      <c r="E11" s="31"/>
      <c r="F11" s="31"/>
    </row>
    <row r="12" spans="1:6">
      <c r="A12" s="31">
        <v>10</v>
      </c>
      <c r="B12" s="31"/>
      <c r="C12" s="31"/>
      <c r="D12" s="31"/>
      <c r="E12" s="31"/>
      <c r="F12" s="31"/>
    </row>
    <row r="13" spans="1:6">
      <c r="A13" s="31">
        <v>11</v>
      </c>
      <c r="B13" s="31"/>
      <c r="C13" s="31"/>
      <c r="D13" s="31"/>
      <c r="E13" s="31"/>
      <c r="F13" s="31"/>
    </row>
    <row r="14" spans="1:6">
      <c r="A14" s="31">
        <v>12</v>
      </c>
      <c r="B14" s="31"/>
      <c r="C14" s="31"/>
      <c r="D14" s="31"/>
      <c r="E14" s="31"/>
      <c r="F14" s="31"/>
    </row>
    <row r="15" spans="1:6">
      <c r="A15" s="31">
        <v>13</v>
      </c>
      <c r="B15" s="31"/>
      <c r="C15" s="31"/>
      <c r="D15" s="31"/>
      <c r="E15" s="31"/>
      <c r="F15" s="31"/>
    </row>
    <row r="16" spans="1:6">
      <c r="A16" s="31">
        <v>14</v>
      </c>
      <c r="B16" s="31"/>
      <c r="C16" s="31"/>
      <c r="D16" s="31"/>
      <c r="E16" s="31"/>
      <c r="F16" s="31"/>
    </row>
    <row r="17" spans="1:6">
      <c r="A17" s="31">
        <v>15</v>
      </c>
      <c r="B17" s="31"/>
      <c r="C17" s="31"/>
      <c r="D17" s="31"/>
      <c r="E17" s="31"/>
      <c r="F17" s="31"/>
    </row>
    <row r="18" spans="1:6">
      <c r="A18" s="31">
        <v>16</v>
      </c>
      <c r="B18" s="31"/>
      <c r="C18" s="31"/>
      <c r="D18" s="31"/>
      <c r="E18" s="31"/>
      <c r="F18" s="31"/>
    </row>
    <row r="19" spans="1:6">
      <c r="A19" s="31">
        <v>17</v>
      </c>
      <c r="B19" s="31"/>
      <c r="C19" s="31"/>
      <c r="D19" s="31"/>
      <c r="E19" s="31"/>
      <c r="F19" s="31"/>
    </row>
    <row r="20" spans="1:6">
      <c r="A20" s="31">
        <v>18</v>
      </c>
      <c r="B20" s="31"/>
      <c r="C20" s="31"/>
      <c r="D20" s="31"/>
      <c r="E20" s="31"/>
      <c r="F20" s="31"/>
    </row>
    <row r="21" spans="1:6">
      <c r="A21" s="31">
        <v>19</v>
      </c>
      <c r="B21" s="31"/>
      <c r="C21" s="31"/>
      <c r="D21" s="31"/>
      <c r="E21" s="31"/>
      <c r="F21" s="31"/>
    </row>
    <row r="22" spans="1:6">
      <c r="A22" s="31">
        <v>20</v>
      </c>
      <c r="B22" s="31"/>
      <c r="C22" s="31"/>
      <c r="D22" s="31"/>
      <c r="E22" s="31"/>
      <c r="F22" s="31"/>
    </row>
    <row r="23" spans="1:6">
      <c r="A23" s="31">
        <v>21</v>
      </c>
      <c r="B23" s="31"/>
      <c r="C23" s="31"/>
      <c r="D23" s="31"/>
      <c r="E23" s="31"/>
      <c r="F23" s="31"/>
    </row>
    <row r="24" spans="1:6">
      <c r="A24" s="31">
        <v>22</v>
      </c>
      <c r="B24" s="31"/>
      <c r="C24" s="31"/>
      <c r="D24" s="31"/>
      <c r="E24" s="31"/>
      <c r="F24" s="31"/>
    </row>
    <row r="25" spans="1:6">
      <c r="A25" s="31">
        <v>23</v>
      </c>
      <c r="B25" s="31"/>
      <c r="C25" s="31"/>
      <c r="D25" s="31"/>
      <c r="E25" s="31"/>
      <c r="F25" s="31"/>
    </row>
    <row r="26" spans="1:6">
      <c r="A26" s="31">
        <v>24</v>
      </c>
      <c r="B26" s="31"/>
      <c r="C26" s="31"/>
      <c r="D26" s="31"/>
      <c r="E26" s="31"/>
      <c r="F26" s="31"/>
    </row>
    <row r="27" spans="1:6">
      <c r="A27" s="31">
        <v>25</v>
      </c>
      <c r="B27" s="31"/>
      <c r="C27" s="31"/>
      <c r="D27" s="31"/>
      <c r="E27" s="31"/>
      <c r="F27" s="31"/>
    </row>
    <row r="28" spans="1:6">
      <c r="A28" s="31">
        <v>26</v>
      </c>
      <c r="B28" s="31"/>
      <c r="C28" s="31"/>
      <c r="D28" s="31"/>
      <c r="E28" s="31"/>
      <c r="F28" s="31"/>
    </row>
    <row r="29" spans="1:6">
      <c r="A29" s="31">
        <v>27</v>
      </c>
      <c r="B29" s="31"/>
      <c r="C29" s="31"/>
      <c r="D29" s="31"/>
      <c r="E29" s="31"/>
      <c r="F29" s="31"/>
    </row>
    <row r="30" spans="1:6">
      <c r="A30" s="31">
        <v>28</v>
      </c>
      <c r="B30" s="31"/>
      <c r="C30" s="31"/>
      <c r="D30" s="31"/>
      <c r="E30" s="31"/>
      <c r="F30" s="31"/>
    </row>
    <row r="31" spans="1:6">
      <c r="A31" s="31">
        <v>29</v>
      </c>
      <c r="B31" s="31"/>
      <c r="C31" s="31"/>
      <c r="D31" s="31"/>
      <c r="E31" s="31"/>
      <c r="F31" s="31"/>
    </row>
    <row r="32" spans="1:6">
      <c r="A32" s="31">
        <v>30</v>
      </c>
      <c r="B32" s="31"/>
      <c r="C32" s="31"/>
      <c r="D32" s="31"/>
      <c r="E32" s="31"/>
      <c r="F32" s="31"/>
    </row>
    <row r="33" spans="1:6">
      <c r="A33" s="31">
        <v>31</v>
      </c>
      <c r="B33" s="31"/>
      <c r="C33" s="31"/>
      <c r="D33" s="31"/>
      <c r="E33" s="31"/>
      <c r="F33" s="31"/>
    </row>
    <row r="34" spans="1:6">
      <c r="A34" s="31">
        <v>32</v>
      </c>
      <c r="B34" s="31"/>
      <c r="C34" s="31"/>
      <c r="D34" s="31"/>
      <c r="E34" s="31"/>
      <c r="F34" s="31"/>
    </row>
    <row r="35" spans="1:6">
      <c r="A35" s="31">
        <v>33</v>
      </c>
      <c r="B35" s="31"/>
      <c r="C35" s="31"/>
      <c r="D35" s="31"/>
      <c r="E35" s="31"/>
      <c r="F35" s="31"/>
    </row>
    <row r="36" spans="1:6">
      <c r="A36" s="31">
        <v>34</v>
      </c>
      <c r="B36" s="31"/>
      <c r="C36" s="31"/>
      <c r="D36" s="31"/>
      <c r="E36" s="31"/>
      <c r="F36" s="31"/>
    </row>
    <row r="37" spans="1:6">
      <c r="A37" s="31">
        <v>35</v>
      </c>
      <c r="B37" s="31"/>
      <c r="C37" s="31"/>
      <c r="D37" s="31"/>
      <c r="E37" s="31"/>
      <c r="F37" s="31"/>
    </row>
    <row r="38" spans="1:6">
      <c r="A38" s="31">
        <v>36</v>
      </c>
      <c r="B38" s="31"/>
      <c r="C38" s="31"/>
      <c r="D38" s="31"/>
      <c r="E38" s="31"/>
      <c r="F38" s="31"/>
    </row>
    <row r="39" spans="1:6">
      <c r="A39" s="31">
        <v>37</v>
      </c>
      <c r="B39" s="31"/>
      <c r="C39" s="31"/>
      <c r="D39" s="31"/>
      <c r="E39" s="31"/>
      <c r="F39" s="31"/>
    </row>
    <row r="40" spans="1:6">
      <c r="A40" s="31">
        <v>38</v>
      </c>
      <c r="B40" s="31"/>
      <c r="C40" s="31"/>
      <c r="D40" s="31"/>
      <c r="E40" s="31"/>
      <c r="F40" s="31"/>
    </row>
    <row r="41" spans="1:6">
      <c r="A41" s="31">
        <v>39</v>
      </c>
      <c r="B41" s="31"/>
      <c r="C41" s="31"/>
      <c r="D41" s="31"/>
      <c r="E41" s="31"/>
      <c r="F41" s="31"/>
    </row>
    <row r="42" spans="1:6">
      <c r="A42" s="31">
        <v>40</v>
      </c>
      <c r="B42" s="31"/>
      <c r="C42" s="31"/>
      <c r="D42" s="31"/>
      <c r="E42" s="31"/>
      <c r="F42" s="31"/>
    </row>
    <row r="43" spans="1:6">
      <c r="A43" s="31">
        <v>41</v>
      </c>
      <c r="B43" s="31"/>
      <c r="C43" s="31"/>
      <c r="D43" s="31"/>
      <c r="E43" s="31"/>
      <c r="F43" s="31"/>
    </row>
    <row r="44" spans="1:6">
      <c r="A44" s="31">
        <v>42</v>
      </c>
      <c r="B44" s="31"/>
      <c r="C44" s="31"/>
      <c r="D44" s="31"/>
      <c r="E44" s="31"/>
      <c r="F44" s="31"/>
    </row>
    <row r="45" spans="1:6">
      <c r="A45" s="31">
        <v>43</v>
      </c>
      <c r="B45" s="31"/>
      <c r="C45" s="31"/>
      <c r="D45" s="31"/>
      <c r="E45" s="31"/>
      <c r="F45" s="31"/>
    </row>
    <row r="46" spans="1:6">
      <c r="A46" s="31">
        <v>44</v>
      </c>
      <c r="B46" s="31"/>
      <c r="C46" s="31"/>
      <c r="D46" s="31"/>
      <c r="E46" s="31"/>
      <c r="F46" s="31"/>
    </row>
    <row r="47" spans="1:6">
      <c r="A47" s="31">
        <v>45</v>
      </c>
      <c r="B47" s="31"/>
      <c r="C47" s="31"/>
      <c r="D47" s="31"/>
      <c r="E47" s="31"/>
      <c r="F47" s="31"/>
    </row>
    <row r="48" spans="1:6">
      <c r="A48" s="31">
        <v>46</v>
      </c>
      <c r="B48" s="31"/>
      <c r="C48" s="31"/>
      <c r="D48" s="31"/>
      <c r="E48" s="31"/>
      <c r="F48" s="31"/>
    </row>
    <row r="49" spans="1:6">
      <c r="A49" s="31">
        <v>47</v>
      </c>
      <c r="B49" s="31"/>
      <c r="C49" s="31"/>
      <c r="D49" s="31"/>
      <c r="E49" s="31"/>
      <c r="F49" s="31"/>
    </row>
    <row r="50" spans="1:6">
      <c r="A50" s="31">
        <v>48</v>
      </c>
      <c r="B50" s="31"/>
      <c r="C50" s="31"/>
      <c r="D50" s="31"/>
      <c r="E50" s="31"/>
      <c r="F50" s="31"/>
    </row>
    <row r="51" spans="1:6">
      <c r="A51" s="31">
        <v>49</v>
      </c>
      <c r="B51" s="31"/>
      <c r="C51" s="31"/>
      <c r="D51" s="31"/>
      <c r="E51" s="31"/>
      <c r="F51" s="31"/>
    </row>
    <row r="52" spans="1:6">
      <c r="A52" s="31">
        <v>50</v>
      </c>
      <c r="B52" s="31"/>
      <c r="C52" s="31"/>
      <c r="D52" s="31"/>
      <c r="E52" s="31"/>
      <c r="F52" s="31"/>
    </row>
    <row r="53" spans="1:6">
      <c r="A53" s="31">
        <v>51</v>
      </c>
      <c r="B53" s="31"/>
      <c r="C53" s="31"/>
      <c r="D53" s="31"/>
      <c r="E53" s="31"/>
      <c r="F53" s="31"/>
    </row>
    <row r="54" spans="1:6">
      <c r="A54" s="31">
        <v>52</v>
      </c>
      <c r="B54" s="31"/>
      <c r="C54" s="31"/>
      <c r="D54" s="31"/>
      <c r="E54" s="31"/>
      <c r="F54" s="31"/>
    </row>
    <row r="55" spans="1:6">
      <c r="A55" s="31">
        <v>53</v>
      </c>
      <c r="B55" s="31"/>
      <c r="C55" s="31"/>
      <c r="D55" s="31"/>
      <c r="E55" s="31"/>
      <c r="F55" s="31"/>
    </row>
    <row r="56" spans="1:6">
      <c r="A56" s="31">
        <v>54</v>
      </c>
      <c r="B56" s="31"/>
      <c r="C56" s="31"/>
      <c r="D56" s="31"/>
      <c r="E56" s="31"/>
      <c r="F56" s="31"/>
    </row>
    <row r="57" spans="1:6">
      <c r="A57" s="31">
        <v>55</v>
      </c>
      <c r="B57" s="31"/>
      <c r="C57" s="31"/>
      <c r="D57" s="31"/>
      <c r="E57" s="31"/>
      <c r="F57" s="31"/>
    </row>
    <row r="58" spans="1:6">
      <c r="A58" s="31">
        <v>56</v>
      </c>
      <c r="B58" s="31"/>
      <c r="C58" s="32"/>
      <c r="D58" s="31"/>
      <c r="E58" s="31"/>
      <c r="F58" s="31"/>
    </row>
    <row r="59" spans="1:6">
      <c r="A59" s="31">
        <v>57</v>
      </c>
      <c r="B59" s="31"/>
      <c r="C59" s="31"/>
      <c r="D59" s="31"/>
      <c r="E59" s="31"/>
      <c r="F59" s="31"/>
    </row>
    <row r="60" spans="1:6">
      <c r="A60" s="31">
        <v>58</v>
      </c>
      <c r="B60" s="31"/>
      <c r="C60" s="31"/>
      <c r="D60" s="31"/>
      <c r="E60" s="31"/>
      <c r="F60" s="31"/>
    </row>
    <row r="61" spans="1:6">
      <c r="A61" s="31">
        <v>59</v>
      </c>
      <c r="B61" s="31"/>
      <c r="C61" s="31"/>
      <c r="D61" s="31"/>
      <c r="E61" s="31"/>
      <c r="F61" s="31"/>
    </row>
    <row r="62" spans="1:6">
      <c r="A62" s="31">
        <v>60</v>
      </c>
      <c r="B62" s="31"/>
      <c r="C62" s="32"/>
      <c r="D62" s="31"/>
      <c r="E62" s="31"/>
      <c r="F62" s="31"/>
    </row>
    <row r="63" spans="1:6">
      <c r="A63" s="31">
        <v>61</v>
      </c>
      <c r="B63" s="31"/>
      <c r="C63" s="31"/>
      <c r="D63" s="31"/>
      <c r="E63" s="31"/>
      <c r="F63" s="31"/>
    </row>
    <row r="64" spans="1:6">
      <c r="A64" s="31">
        <v>62</v>
      </c>
      <c r="B64" s="31"/>
      <c r="C64" s="31"/>
      <c r="D64" s="31"/>
      <c r="E64" s="31"/>
      <c r="F64" s="31"/>
    </row>
    <row r="65" spans="1:6">
      <c r="A65" s="31">
        <v>63</v>
      </c>
      <c r="B65" s="31"/>
      <c r="C65" s="31"/>
      <c r="D65" s="31"/>
      <c r="E65" s="31"/>
      <c r="F65" s="31"/>
    </row>
    <row r="66" spans="1:6">
      <c r="A66" s="31">
        <v>64</v>
      </c>
      <c r="B66" s="31"/>
      <c r="C66" s="31"/>
      <c r="D66" s="31"/>
      <c r="E66" s="31"/>
      <c r="F66" s="31"/>
    </row>
    <row r="67" spans="1:6">
      <c r="A67" s="31">
        <v>65</v>
      </c>
      <c r="B67" s="31"/>
      <c r="C67" s="31"/>
      <c r="D67" s="31"/>
      <c r="E67" s="31"/>
      <c r="F67" s="31"/>
    </row>
    <row r="68" spans="1:6">
      <c r="A68" s="31">
        <v>66</v>
      </c>
      <c r="B68" s="31"/>
      <c r="C68" s="31"/>
      <c r="D68" s="31"/>
      <c r="E68" s="31"/>
      <c r="F68" s="31"/>
    </row>
    <row r="69" spans="1:6">
      <c r="A69" s="31">
        <v>67</v>
      </c>
      <c r="B69" s="31"/>
      <c r="C69" s="31"/>
      <c r="D69" s="31"/>
      <c r="E69" s="31"/>
      <c r="F69" s="31"/>
    </row>
    <row r="70" spans="1:6">
      <c r="A70" s="31">
        <v>68</v>
      </c>
      <c r="B70" s="31"/>
      <c r="C70" s="31"/>
      <c r="D70" s="31"/>
      <c r="E70" s="31"/>
      <c r="F70" s="31"/>
    </row>
    <row r="71" spans="1:6">
      <c r="A71" s="31">
        <v>69</v>
      </c>
      <c r="B71" s="31"/>
      <c r="C71" s="31"/>
      <c r="D71" s="31"/>
      <c r="E71" s="31"/>
      <c r="F71" s="31"/>
    </row>
    <row r="72" spans="1:6">
      <c r="A72" s="31">
        <v>70</v>
      </c>
      <c r="B72" s="31"/>
      <c r="C72" s="32"/>
      <c r="D72" s="31"/>
      <c r="E72" s="31"/>
      <c r="F72" s="31"/>
    </row>
    <row r="73" spans="1:6">
      <c r="A73" s="31">
        <v>71</v>
      </c>
      <c r="B73" s="31"/>
      <c r="C73" s="31"/>
      <c r="D73" s="31"/>
      <c r="E73" s="31"/>
      <c r="F73" s="31"/>
    </row>
    <row r="74" spans="1:6">
      <c r="A74" s="31">
        <v>72</v>
      </c>
      <c r="B74" s="31"/>
      <c r="C74" s="31"/>
      <c r="D74" s="31"/>
      <c r="E74" s="31"/>
      <c r="F74" s="31"/>
    </row>
    <row r="75" spans="1:6">
      <c r="A75" s="31">
        <v>73</v>
      </c>
      <c r="B75" s="31"/>
      <c r="C75" s="31"/>
      <c r="D75" s="31"/>
      <c r="E75" s="31"/>
      <c r="F75" s="31"/>
    </row>
    <row r="76" spans="1:6">
      <c r="A76" s="31">
        <v>74</v>
      </c>
      <c r="B76" s="31"/>
      <c r="C76" s="32"/>
      <c r="D76" s="31"/>
      <c r="E76" s="31"/>
      <c r="F76" s="31"/>
    </row>
    <row r="77" spans="1:6">
      <c r="A77" s="31">
        <v>75</v>
      </c>
      <c r="B77" s="31"/>
      <c r="C77" s="31"/>
      <c r="D77" s="31"/>
      <c r="E77" s="31"/>
      <c r="F77" s="31"/>
    </row>
    <row r="78" spans="1:6">
      <c r="A78" s="31">
        <v>76</v>
      </c>
      <c r="B78" s="9"/>
      <c r="C78" s="33"/>
      <c r="D78" s="9"/>
      <c r="E78" s="9"/>
      <c r="F78" s="9"/>
    </row>
    <row r="79" spans="1:6">
      <c r="A79" s="31">
        <v>77</v>
      </c>
      <c r="B79" s="31"/>
      <c r="C79" s="32"/>
      <c r="D79" s="31"/>
      <c r="E79" s="31"/>
      <c r="F79" s="31"/>
    </row>
    <row r="80" spans="1:6">
      <c r="A80" s="31">
        <v>78</v>
      </c>
      <c r="B80" s="31"/>
      <c r="C80" s="32"/>
      <c r="D80" s="31"/>
      <c r="E80" s="31"/>
      <c r="F80" s="31"/>
    </row>
    <row r="81" spans="1:6">
      <c r="A81" s="9">
        <v>79</v>
      </c>
      <c r="B81" s="31"/>
      <c r="C81" s="31"/>
      <c r="D81" s="31"/>
      <c r="E81" s="31"/>
      <c r="F81" s="31"/>
    </row>
    <row r="82" spans="1:6">
      <c r="A82" s="31">
        <v>80</v>
      </c>
      <c r="B82" s="31"/>
      <c r="C82" s="32"/>
      <c r="D82" s="31"/>
      <c r="E82" s="31"/>
      <c r="F82" s="31"/>
    </row>
    <row r="83" spans="1:6">
      <c r="A83" s="31">
        <v>81</v>
      </c>
      <c r="B83" s="31"/>
      <c r="C83" s="32"/>
      <c r="D83" s="31"/>
      <c r="E83" s="31"/>
      <c r="F83" s="31"/>
    </row>
    <row r="84" spans="1:6">
      <c r="A84" s="31">
        <v>82</v>
      </c>
      <c r="B84" s="31"/>
      <c r="C84" s="31"/>
      <c r="D84" s="31"/>
      <c r="E84" s="31"/>
      <c r="F84" s="31"/>
    </row>
    <row r="85" spans="1:6">
      <c r="A85" s="31">
        <v>83</v>
      </c>
      <c r="B85" s="31"/>
      <c r="C85" s="32"/>
      <c r="D85" s="31"/>
      <c r="E85" s="31"/>
      <c r="F85" s="31"/>
    </row>
    <row r="86" spans="1:6">
      <c r="A86" s="31">
        <v>84</v>
      </c>
      <c r="B86" s="31"/>
      <c r="C86" s="32"/>
      <c r="D86" s="31"/>
      <c r="E86" s="31"/>
      <c r="F86" s="31"/>
    </row>
    <row r="87" spans="1:6">
      <c r="A87" s="31">
        <v>85</v>
      </c>
      <c r="B87" s="31"/>
      <c r="C87" s="32"/>
      <c r="D87" s="31"/>
      <c r="E87" s="31"/>
      <c r="F87" s="31"/>
    </row>
    <row r="88" spans="1:6">
      <c r="A88" s="31">
        <v>86</v>
      </c>
      <c r="B88" s="31"/>
      <c r="C88" s="31"/>
      <c r="D88" s="31"/>
      <c r="E88" s="31"/>
      <c r="F88" s="31"/>
    </row>
    <row r="89" spans="1:6">
      <c r="A89" s="31">
        <v>87</v>
      </c>
      <c r="B89" s="31"/>
      <c r="C89" s="31"/>
      <c r="D89" s="31"/>
      <c r="E89" s="31"/>
      <c r="F89" s="31"/>
    </row>
    <row r="90" spans="1:6">
      <c r="A90" s="31">
        <v>88</v>
      </c>
      <c r="B90" s="31"/>
      <c r="C90" s="32"/>
      <c r="D90" s="31"/>
      <c r="E90" s="31"/>
      <c r="F90" s="31"/>
    </row>
    <row r="91" spans="1:6">
      <c r="A91" s="31">
        <v>89</v>
      </c>
      <c r="B91" s="31"/>
      <c r="C91" s="32"/>
      <c r="D91" s="31"/>
      <c r="E91" s="31"/>
      <c r="F91" s="31"/>
    </row>
    <row r="92" spans="1:6">
      <c r="A92" s="31">
        <v>90</v>
      </c>
      <c r="B92" s="31"/>
      <c r="C92" s="32"/>
      <c r="D92" s="31"/>
      <c r="E92" s="31"/>
      <c r="F92" s="31"/>
    </row>
    <row r="93" spans="1:6">
      <c r="A93" s="31">
        <v>91</v>
      </c>
      <c r="B93" s="31"/>
      <c r="C93" s="32"/>
      <c r="D93" s="31"/>
      <c r="E93" s="31"/>
      <c r="F93" s="31"/>
    </row>
    <row r="94" spans="1:6">
      <c r="A94" s="31">
        <v>92</v>
      </c>
      <c r="B94" s="31"/>
      <c r="C94" s="32"/>
      <c r="D94" s="31"/>
      <c r="E94" s="31"/>
      <c r="F94" s="31"/>
    </row>
    <row r="95" spans="1:6">
      <c r="A95" s="31">
        <v>93</v>
      </c>
      <c r="B95" s="31"/>
      <c r="C95" s="32"/>
      <c r="D95" s="31"/>
      <c r="E95" s="31"/>
      <c r="F95" s="31"/>
    </row>
    <row r="96" spans="1:6">
      <c r="A96" s="31">
        <v>94</v>
      </c>
      <c r="B96" s="31"/>
      <c r="C96" s="32"/>
      <c r="D96" s="31"/>
      <c r="E96" s="31"/>
      <c r="F96" s="31"/>
    </row>
    <row r="97" spans="1:6">
      <c r="A97" s="31">
        <v>95</v>
      </c>
      <c r="B97" s="31"/>
      <c r="C97" s="32"/>
      <c r="D97" s="31"/>
      <c r="E97" s="31"/>
      <c r="F97" s="31"/>
    </row>
    <row r="98" spans="1:6">
      <c r="A98" s="9"/>
      <c r="B98" s="9" t="s">
        <v>48</v>
      </c>
      <c r="C98" s="9">
        <f ca="1">SUM($C$6:$C$100)</f>
        <v>2526</v>
      </c>
      <c r="D98" s="9">
        <f ca="1">SUM($D$6:$D$100)</f>
        <v>2509</v>
      </c>
      <c r="E98" s="9">
        <f ca="1">SUM($E$6:$E$100)</f>
        <v>2769</v>
      </c>
      <c r="F98" s="9">
        <f ca="1">SUM($F$6:$F$100)</f>
        <v>2960</v>
      </c>
    </row>
  </sheetData>
  <mergeCells count="3">
    <mergeCell ref="A1:A2"/>
    <mergeCell ref="B1:B2"/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HC</vt:lpstr>
      <vt:lpstr>Shipment volume</vt:lpstr>
      <vt:lpstr>BU allocation</vt:lpstr>
      <vt:lpstr>N-S Customer list</vt:lpstr>
      <vt:lpstr>HAN Customer list</vt:lpstr>
      <vt:lpstr>HLC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thuhuong.ngo(YLVN)</dc:creator>
  <cp:lastModifiedBy>thuhuong.ngo(YLVN)</cp:lastModifiedBy>
  <dcterms:created xsi:type="dcterms:W3CDTF">2026-08-07T06:32:50Z</dcterms:created>
  <dcterms:modified xsi:type="dcterms:W3CDTF">2026-08-07T08:42:49Z</dcterms:modified>
</cp:coreProperties>
</file>